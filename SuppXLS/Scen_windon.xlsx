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oll\Documents\Masters\MASTERS SELECT\AGH\IERP\ELAND-main\ELAND-main\SuppXLS\"/>
    </mc:Choice>
  </mc:AlternateContent>
  <xr:revisionPtr revIDLastSave="0" documentId="8_{BE2A7C36-A862-4998-80DD-EB5CA7E2B51B}" xr6:coauthVersionLast="47" xr6:coauthVersionMax="47" xr10:uidLastSave="{00000000-0000-0000-0000-000000000000}"/>
  <bookViews>
    <workbookView xWindow="10718" yWindow="0" windowWidth="10965" windowHeight="11512" xr2:uid="{1A67F2A6-5911-4169-A2E8-2ABD4DFA4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L30" i="1"/>
  <c r="L29" i="1"/>
  <c r="L28" i="1"/>
  <c r="L27" i="1"/>
  <c r="L26" i="1"/>
  <c r="L32" i="1" s="1"/>
  <c r="L22" i="1"/>
  <c r="L11" i="1"/>
  <c r="L7" i="1"/>
  <c r="L8" i="1"/>
  <c r="L9" i="1"/>
  <c r="L10" i="1"/>
  <c r="L6" i="1"/>
  <c r="L5" i="1"/>
</calcChain>
</file>

<file path=xl/sharedStrings.xml><?xml version="1.0" encoding="utf-8"?>
<sst xmlns="http://schemas.openxmlformats.org/spreadsheetml/2006/main" count="133" uniqueCount="13">
  <si>
    <t>Pset_PN</t>
  </si>
  <si>
    <t>Attribute</t>
  </si>
  <si>
    <t>LimType</t>
  </si>
  <si>
    <t>Year</t>
  </si>
  <si>
    <t>PL</t>
  </si>
  <si>
    <t>ELE_NEW_WIND-ON</t>
  </si>
  <si>
    <t>CAP_BND</t>
  </si>
  <si>
    <t>UP</t>
  </si>
  <si>
    <t>NCAP_BND</t>
  </si>
  <si>
    <t>GW</t>
  </si>
  <si>
    <t>TFM_INS</t>
  </si>
  <si>
    <t>\I: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</si>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</sst>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2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F312-6B97-4347-9B42-1C61727C8D91}">
  <dimension ref="B2:L32"/>
  <sheetViews>
    <sheetView tabSelected="1" workbookViewId="0">
      <selection activeCell="B21" sqref="B21"/>
    </sheetView>
  </sheetViews>
  <sheetFormatPr defaultRowHeight="14.25" x14ac:dyDescent="0.45"/>
  <cols>
    <col min="2" max="2" width="16.86328125" bestFit="1" customWidth="1"/>
    <col min="3" max="3" width="8.265625" bestFit="1" customWidth="1"/>
    <col min="4" max="4" width="7.19921875" bestFit="1" customWidth="1"/>
    <col min="5" max="5" width="4.73046875" bestFit="1" customWidth="1"/>
    <col min="6" max="6" width="3.73046875" bestFit="1" customWidth="1"/>
    <col min="8" max="8" width="16.86328125" bestFit="1" customWidth="1"/>
    <col min="9" max="9" width="9.53125" bestFit="1" customWidth="1"/>
    <col min="10" max="10" width="7.19921875" bestFit="1" customWidth="1"/>
    <col min="11" max="11" width="4.73046875" bestFit="1" customWidth="1"/>
    <col min="12" max="12" width="3.59765625" bestFit="1" customWidth="1"/>
  </cols>
  <sheetData>
    <row r="2" spans="2:12" x14ac:dyDescent="0.45">
      <c r="B2" t="s">
        <v>12</v>
      </c>
      <c r="H2" t="s">
        <v>10</v>
      </c>
    </row>
    <row r="3" spans="2:12" x14ac:dyDescent="0.4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</row>
    <row r="4" spans="2:12" x14ac:dyDescent="0.45">
      <c r="B4" s="1" t="s">
        <v>11</v>
      </c>
      <c r="C4" s="1"/>
      <c r="D4" s="1"/>
      <c r="E4" s="1"/>
      <c r="F4" s="1" t="s">
        <v>9</v>
      </c>
      <c r="H4" s="1"/>
      <c r="I4" s="2"/>
      <c r="J4" s="2"/>
      <c r="K4" s="2"/>
      <c r="L4" s="2" t="s">
        <v>9</v>
      </c>
    </row>
    <row r="5" spans="2:12" x14ac:dyDescent="0.45">
      <c r="B5" t="s">
        <v>5</v>
      </c>
      <c r="C5" t="s">
        <v>6</v>
      </c>
      <c r="D5" t="s">
        <v>7</v>
      </c>
      <c r="E5">
        <v>2025</v>
      </c>
      <c r="F5">
        <v>7</v>
      </c>
      <c r="H5" t="s">
        <v>5</v>
      </c>
      <c r="I5" t="s">
        <v>8</v>
      </c>
      <c r="J5" t="s">
        <v>7</v>
      </c>
      <c r="K5">
        <v>2025</v>
      </c>
      <c r="L5">
        <f>F5</f>
        <v>7</v>
      </c>
    </row>
    <row r="6" spans="2:12" x14ac:dyDescent="0.45">
      <c r="B6" t="s">
        <v>5</v>
      </c>
      <c r="C6" t="s">
        <v>6</v>
      </c>
      <c r="D6" t="s">
        <v>7</v>
      </c>
      <c r="E6">
        <v>2030</v>
      </c>
      <c r="F6">
        <v>23</v>
      </c>
      <c r="H6" t="s">
        <v>5</v>
      </c>
      <c r="I6" t="s">
        <v>8</v>
      </c>
      <c r="J6" t="s">
        <v>7</v>
      </c>
      <c r="K6">
        <v>2030</v>
      </c>
      <c r="L6">
        <f>F6-F5</f>
        <v>16</v>
      </c>
    </row>
    <row r="7" spans="2:12" x14ac:dyDescent="0.45">
      <c r="B7" t="s">
        <v>5</v>
      </c>
      <c r="C7" t="s">
        <v>6</v>
      </c>
      <c r="D7" t="s">
        <v>7</v>
      </c>
      <c r="E7">
        <v>2035</v>
      </c>
      <c r="F7">
        <v>40</v>
      </c>
      <c r="H7" t="s">
        <v>5</v>
      </c>
      <c r="I7" t="s">
        <v>8</v>
      </c>
      <c r="J7" t="s">
        <v>7</v>
      </c>
      <c r="K7">
        <v>2035</v>
      </c>
      <c r="L7">
        <f t="shared" ref="L7:L10" si="0">F7-F6</f>
        <v>17</v>
      </c>
    </row>
    <row r="8" spans="2:12" x14ac:dyDescent="0.45">
      <c r="B8" t="s">
        <v>5</v>
      </c>
      <c r="C8" t="s">
        <v>6</v>
      </c>
      <c r="D8" t="s">
        <v>7</v>
      </c>
      <c r="E8">
        <v>2040</v>
      </c>
      <c r="F8">
        <v>57</v>
      </c>
      <c r="H8" t="s">
        <v>5</v>
      </c>
      <c r="I8" t="s">
        <v>8</v>
      </c>
      <c r="J8" t="s">
        <v>7</v>
      </c>
      <c r="K8">
        <v>2040</v>
      </c>
      <c r="L8">
        <f t="shared" si="0"/>
        <v>17</v>
      </c>
    </row>
    <row r="9" spans="2:12" x14ac:dyDescent="0.45">
      <c r="B9" t="s">
        <v>5</v>
      </c>
      <c r="C9" t="s">
        <v>6</v>
      </c>
      <c r="D9" t="s">
        <v>7</v>
      </c>
      <c r="E9">
        <v>2045</v>
      </c>
      <c r="F9">
        <v>68</v>
      </c>
      <c r="H9" t="s">
        <v>5</v>
      </c>
      <c r="I9" t="s">
        <v>8</v>
      </c>
      <c r="J9" t="s">
        <v>7</v>
      </c>
      <c r="K9">
        <v>2045</v>
      </c>
      <c r="L9">
        <f t="shared" si="0"/>
        <v>11</v>
      </c>
    </row>
    <row r="10" spans="2:12" x14ac:dyDescent="0.45">
      <c r="B10" t="s">
        <v>5</v>
      </c>
      <c r="C10" t="s">
        <v>6</v>
      </c>
      <c r="D10" t="s">
        <v>7</v>
      </c>
      <c r="E10">
        <v>2050</v>
      </c>
      <c r="F10">
        <v>82</v>
      </c>
      <c r="H10" t="s">
        <v>5</v>
      </c>
      <c r="I10" t="s">
        <v>8</v>
      </c>
      <c r="J10" t="s">
        <v>7</v>
      </c>
      <c r="K10">
        <v>2050</v>
      </c>
      <c r="L10">
        <f t="shared" si="0"/>
        <v>14</v>
      </c>
    </row>
    <row r="11" spans="2:12" x14ac:dyDescent="0.45">
      <c r="L11">
        <f>SUM(L5:L10)</f>
        <v>82</v>
      </c>
    </row>
    <row r="13" spans="2:12" x14ac:dyDescent="0.45">
      <c r="B13" t="s">
        <v>10</v>
      </c>
    </row>
    <row r="14" spans="2:12" x14ac:dyDescent="0.45"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H14" s="2" t="s">
        <v>0</v>
      </c>
      <c r="I14" s="2" t="s">
        <v>1</v>
      </c>
      <c r="J14" s="2" t="s">
        <v>2</v>
      </c>
      <c r="K14" s="2" t="s">
        <v>3</v>
      </c>
      <c r="L14" s="2" t="s">
        <v>4</v>
      </c>
    </row>
    <row r="15" spans="2:12" x14ac:dyDescent="0.45">
      <c r="B15" s="1"/>
      <c r="C15" s="1"/>
      <c r="D15" s="1"/>
      <c r="E15" s="1"/>
      <c r="F15" s="1" t="s">
        <v>9</v>
      </c>
      <c r="H15" s="1"/>
      <c r="I15" s="2"/>
      <c r="J15" s="2"/>
      <c r="K15" s="2"/>
      <c r="L15" s="2" t="s">
        <v>9</v>
      </c>
    </row>
    <row r="16" spans="2:12" x14ac:dyDescent="0.45">
      <c r="B16" t="s">
        <v>5</v>
      </c>
      <c r="C16" t="s">
        <v>6</v>
      </c>
      <c r="D16" t="s">
        <v>7</v>
      </c>
      <c r="E16">
        <v>2050</v>
      </c>
      <c r="F16">
        <v>100</v>
      </c>
      <c r="H16" t="s">
        <v>5</v>
      </c>
      <c r="I16" t="s">
        <v>8</v>
      </c>
      <c r="J16" t="s">
        <v>7</v>
      </c>
      <c r="K16">
        <v>2025</v>
      </c>
      <c r="L16">
        <v>10</v>
      </c>
    </row>
    <row r="17" spans="2:12" x14ac:dyDescent="0.45">
      <c r="H17" t="s">
        <v>5</v>
      </c>
      <c r="I17" t="s">
        <v>8</v>
      </c>
      <c r="J17" t="s">
        <v>7</v>
      </c>
      <c r="K17">
        <v>2030</v>
      </c>
      <c r="L17">
        <v>25</v>
      </c>
    </row>
    <row r="18" spans="2:12" x14ac:dyDescent="0.45">
      <c r="H18" t="s">
        <v>5</v>
      </c>
      <c r="I18" t="s">
        <v>8</v>
      </c>
      <c r="J18" t="s">
        <v>7</v>
      </c>
      <c r="K18">
        <v>2035</v>
      </c>
      <c r="L18">
        <v>25</v>
      </c>
    </row>
    <row r="19" spans="2:12" x14ac:dyDescent="0.45">
      <c r="H19" t="s">
        <v>5</v>
      </c>
      <c r="I19" t="s">
        <v>8</v>
      </c>
      <c r="J19" t="s">
        <v>7</v>
      </c>
      <c r="K19">
        <v>2040</v>
      </c>
      <c r="L19">
        <v>25</v>
      </c>
    </row>
    <row r="20" spans="2:12" x14ac:dyDescent="0.45">
      <c r="H20" t="s">
        <v>5</v>
      </c>
      <c r="I20" t="s">
        <v>8</v>
      </c>
      <c r="J20" t="s">
        <v>7</v>
      </c>
      <c r="K20">
        <v>2045</v>
      </c>
      <c r="L20">
        <v>25</v>
      </c>
    </row>
    <row r="21" spans="2:12" x14ac:dyDescent="0.45">
      <c r="H21" t="s">
        <v>5</v>
      </c>
      <c r="I21" t="s">
        <v>8</v>
      </c>
      <c r="J21" t="s">
        <v>7</v>
      </c>
      <c r="K21">
        <v>2050</v>
      </c>
      <c r="L21">
        <v>25</v>
      </c>
    </row>
    <row r="22" spans="2:12" x14ac:dyDescent="0.45">
      <c r="L22">
        <f>SUM(L16:L21)</f>
        <v>135</v>
      </c>
    </row>
    <row r="24" spans="2:12" x14ac:dyDescent="0.45">
      <c r="B24" s="2" t="s">
        <v>0</v>
      </c>
      <c r="C24" s="2" t="s">
        <v>1</v>
      </c>
      <c r="D24" s="2" t="s">
        <v>2</v>
      </c>
      <c r="E24" s="2" t="s">
        <v>3</v>
      </c>
      <c r="F24" s="2" t="s">
        <v>4</v>
      </c>
      <c r="H24" s="2" t="s">
        <v>0</v>
      </c>
      <c r="I24" s="2" t="s">
        <v>1</v>
      </c>
      <c r="J24" s="2" t="s">
        <v>2</v>
      </c>
      <c r="K24" s="2" t="s">
        <v>3</v>
      </c>
      <c r="L24" s="2" t="s">
        <v>4</v>
      </c>
    </row>
    <row r="25" spans="2:12" x14ac:dyDescent="0.45">
      <c r="B25" s="1"/>
      <c r="C25" s="1"/>
      <c r="D25" s="1"/>
      <c r="E25" s="1"/>
      <c r="F25" s="1" t="s">
        <v>9</v>
      </c>
      <c r="H25" s="1"/>
      <c r="I25" s="2"/>
      <c r="J25" s="2"/>
      <c r="K25" s="2"/>
      <c r="L25" s="2" t="s">
        <v>9</v>
      </c>
    </row>
    <row r="26" spans="2:12" x14ac:dyDescent="0.45">
      <c r="B26" t="s">
        <v>5</v>
      </c>
      <c r="C26" t="s">
        <v>6</v>
      </c>
      <c r="D26" t="s">
        <v>7</v>
      </c>
      <c r="E26">
        <v>2025</v>
      </c>
      <c r="F26">
        <v>5</v>
      </c>
      <c r="H26" t="s">
        <v>5</v>
      </c>
      <c r="I26" t="s">
        <v>8</v>
      </c>
      <c r="J26" t="s">
        <v>7</v>
      </c>
      <c r="K26">
        <v>2025</v>
      </c>
      <c r="L26">
        <f>F27</f>
        <v>15</v>
      </c>
    </row>
    <row r="27" spans="2:12" x14ac:dyDescent="0.45">
      <c r="B27" t="s">
        <v>5</v>
      </c>
      <c r="C27" t="s">
        <v>6</v>
      </c>
      <c r="D27" t="s">
        <v>7</v>
      </c>
      <c r="E27">
        <v>2030</v>
      </c>
      <c r="F27">
        <v>15</v>
      </c>
      <c r="H27" t="s">
        <v>5</v>
      </c>
      <c r="I27" t="s">
        <v>8</v>
      </c>
      <c r="J27" t="s">
        <v>7</v>
      </c>
      <c r="K27">
        <v>2030</v>
      </c>
      <c r="L27">
        <f>F28-F27</f>
        <v>10</v>
      </c>
    </row>
    <row r="28" spans="2:12" x14ac:dyDescent="0.45">
      <c r="B28" t="s">
        <v>5</v>
      </c>
      <c r="C28" t="s">
        <v>6</v>
      </c>
      <c r="D28" t="s">
        <v>7</v>
      </c>
      <c r="E28">
        <v>2035</v>
      </c>
      <c r="F28">
        <v>25</v>
      </c>
      <c r="H28" t="s">
        <v>5</v>
      </c>
      <c r="I28" t="s">
        <v>8</v>
      </c>
      <c r="J28" t="s">
        <v>7</v>
      </c>
      <c r="K28">
        <v>2035</v>
      </c>
      <c r="L28">
        <f>F29-F28</f>
        <v>15</v>
      </c>
    </row>
    <row r="29" spans="2:12" x14ac:dyDescent="0.45">
      <c r="B29" t="s">
        <v>5</v>
      </c>
      <c r="C29" t="s">
        <v>6</v>
      </c>
      <c r="D29" t="s">
        <v>7</v>
      </c>
      <c r="E29">
        <v>2040</v>
      </c>
      <c r="F29">
        <v>40</v>
      </c>
      <c r="H29" t="s">
        <v>5</v>
      </c>
      <c r="I29" t="s">
        <v>8</v>
      </c>
      <c r="J29" t="s">
        <v>7</v>
      </c>
      <c r="K29">
        <v>2040</v>
      </c>
      <c r="L29">
        <f>F30-F29</f>
        <v>25</v>
      </c>
    </row>
    <row r="30" spans="2:12" x14ac:dyDescent="0.45">
      <c r="B30" t="s">
        <v>5</v>
      </c>
      <c r="C30" t="s">
        <v>6</v>
      </c>
      <c r="D30" t="s">
        <v>7</v>
      </c>
      <c r="E30">
        <v>2045</v>
      </c>
      <c r="F30">
        <v>65</v>
      </c>
      <c r="H30" t="s">
        <v>5</v>
      </c>
      <c r="I30" t="s">
        <v>8</v>
      </c>
      <c r="J30" t="s">
        <v>7</v>
      </c>
      <c r="K30">
        <v>2045</v>
      </c>
      <c r="L30">
        <f>F31-F30</f>
        <v>5</v>
      </c>
    </row>
    <row r="31" spans="2:12" x14ac:dyDescent="0.45">
      <c r="B31" t="s">
        <v>5</v>
      </c>
      <c r="C31" t="s">
        <v>6</v>
      </c>
      <c r="D31" t="s">
        <v>7</v>
      </c>
      <c r="E31">
        <v>2050</v>
      </c>
      <c r="F31">
        <v>70</v>
      </c>
      <c r="H31" t="s">
        <v>5</v>
      </c>
      <c r="I31" t="s">
        <v>8</v>
      </c>
      <c r="J31" t="s">
        <v>7</v>
      </c>
      <c r="K31">
        <v>2050</v>
      </c>
      <c r="L31" t="e">
        <f>#REF!-F31</f>
        <v>#REF!</v>
      </c>
    </row>
    <row r="32" spans="2:12" x14ac:dyDescent="0.45">
      <c r="L32" t="e">
        <f>SUM(L26:L31)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Orduna Llamas</dc:creator>
  <cp:lastModifiedBy>Carlos Eduardo Orduna Llamas</cp:lastModifiedBy>
  <dcterms:created xsi:type="dcterms:W3CDTF">2026-01-13T07:30:56Z</dcterms:created>
  <dcterms:modified xsi:type="dcterms:W3CDTF">2026-01-13T07:51:50Z</dcterms:modified>
</cp:coreProperties>
</file>