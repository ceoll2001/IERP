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eoll\Documents\Masters\MASTERS SELECT\AGH\IERP\ELAND-main\ELAND-main\"/>
    </mc:Choice>
  </mc:AlternateContent>
  <xr:revisionPtr revIDLastSave="0" documentId="13_ncr:1_{7746AD8B-66A4-47AB-815C-4D16D869757F}" xr6:coauthVersionLast="47" xr6:coauthVersionMax="47" xr10:uidLastSave="{00000000-0000-0000-0000-000000000000}"/>
  <bookViews>
    <workbookView xWindow="-98" yWindow="-98" windowWidth="21795" windowHeight="11625" firstSheet="1" activeTab="3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GRID" sheetId="13" r:id="rId8"/>
    <sheet name="Deman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9" l="1"/>
  <c r="I17" i="9"/>
  <c r="C10" i="9"/>
  <c r="C11" i="9"/>
  <c r="C12" i="9"/>
  <c r="C13" i="9"/>
  <c r="C14" i="9"/>
  <c r="C15" i="9"/>
  <c r="C16" i="9"/>
  <c r="C17" i="9"/>
  <c r="C9" i="9"/>
  <c r="F9" i="9"/>
  <c r="H11" i="9" s="1"/>
  <c r="E6" i="13"/>
  <c r="D6" i="13"/>
  <c r="C6" i="13"/>
  <c r="B6" i="13"/>
  <c r="F25" i="9"/>
  <c r="E25" i="9"/>
  <c r="D25" i="9"/>
  <c r="C25" i="9"/>
  <c r="F11" i="8"/>
  <c r="C11" i="8"/>
  <c r="D11" i="8"/>
  <c r="E11" i="8"/>
  <c r="C11" i="3"/>
  <c r="D11" i="3"/>
  <c r="E11" i="3"/>
  <c r="D9" i="8"/>
  <c r="D10" i="8"/>
  <c r="C10" i="8"/>
  <c r="C9" i="8"/>
  <c r="F10" i="8"/>
  <c r="F9" i="8"/>
  <c r="O10" i="8"/>
  <c r="P10" i="8" s="1"/>
  <c r="O9" i="8"/>
  <c r="O13" i="8" s="1"/>
  <c r="H14" i="9" l="1"/>
  <c r="H13" i="9"/>
  <c r="H10" i="9"/>
  <c r="H17" i="9"/>
  <c r="H15" i="9"/>
  <c r="H16" i="9"/>
  <c r="P9" i="8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9E78AFC4-2BAE-403F-95E2-523753FAAFF4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22" authorId="0" shapeId="0" xr:uid="{A71BDD28-0CE9-4974-B2FE-EBDD5AD48B4E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<sst xmlns="http://schemas.openxmlformats.org/spreadsheetml/2006/main" count="362" uniqueCount="203">
  <si>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</si>
  <si>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</si>
  <si>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</si>
  <si>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</si>
  <si>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</si>
  <si>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</si>
  <si>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</si>
  <si>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</si>
  <si>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</si>
  <si>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</si>
  <si>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</si>
  <si>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</si>
  <si>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</si>
  <si>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</si>
  <si>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</si>
  <si>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</si>
  <si>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</si>
  <si>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</si>
  <si>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</si>
  <si>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</si>
  <si>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</si>
  <si>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</si>
  <si>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</si>
  <si>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</si>
  <si>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</si>
  <si>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</si>
  <si>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</si>
  <si>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</si>
  <si>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</si>
  <si>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</si>
  <si>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</si>
  <si>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</si>
  <si>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</si>
  <si>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</si>
  <si>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</si>
  <si>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</si>
  <si>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</si>
  <si>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</si>
  <si>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</si>
  <si>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</si>
  <si>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</si>
  <si>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</si>
  <si>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</si>
  <si>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</si>
  <si>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</si>
  <si>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</si>
  <si>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</si>
  <si>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</si>
  <si>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</si>
  <si>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</si>
  <si>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</si>
  <si>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</si>
  <si>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</si>
  <si>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</si>
  <si>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</si>
  <si>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</si>
  <si>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</si>
  <si>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</si>
  <si>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</si>
  <si>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</si>
  <si>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</si>
  <si>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</si>
  <si>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</si>
  <si>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</si>
  <si>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</si>
  <si>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</si>
  <si>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</si>
  <si>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</si>
  <si>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</si>
  <si>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</si>
  <si>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</si>
  <si>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</si>
  <si>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</si>
  <si>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</si>
  <si>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</si>
  <si>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</si>
  <si>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</si>
  <si>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</si>
  <si>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</si>
  <si>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</si>
  <si>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</si>
  <si>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</si>
  <si>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</si>
  <si>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</si>
  <si>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</si>
  <si>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</si>
  <si>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</si>
  <si>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</si>
  <si>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</si>
  <si>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</si>
  <si>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</si>
  <si>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</si>
  <si>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</si>
  <si>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</si>
  <si>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</si>
  <si>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</si>
  <si>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</si>
  <si>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</si>
  <si>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</si>
  <si>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</si>
  <si>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</si>
  <si>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</si>
  <si>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</si>
  <si>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</si>
  <si>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</si>
  <si>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</si>
  <si>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</si>
  <si>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</si>
  <si>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</si>
  <si>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</si>
  <si>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</si>
  <si>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</si>
  <si>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</si>
  <si>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</si>
  <si>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</si>
  <si>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</si>
  <si>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</si>
  <si>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</si>
  <si>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</si>
  <si>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</si>
  <si>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</si>
  <si>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</si>
  <si>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</si>
  <si>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</si>
  <si>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</si>
  <si>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</si>
  <si>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</si>
  <si>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</si>
  <si>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</si>
  <si>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</si>
  <si>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</si>
  <si>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</si>
  <si>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</si>
  <si>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</si>
  <si>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</si>
  <si>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</si>
  <si>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</si>
  <si>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</si>
  <si>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</si>
  <si>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</si>
  <si>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</si>
  <si>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</si>
  <si>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</si>
  <si>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</si>
  <si>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</si>
  <si>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</si>
  <si>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</si>
  <si>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</si>
  <si>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</si>
  <si>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</si>
  <si>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</si>
  <si>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</si>
  <si>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</si>
  <si>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</si>
  <si>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</si>
  <si>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</si>
  <si>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</si>
  <si>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</si>
  <si>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</si>
  <si>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</si>
  <si>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</si>
  <si>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</si>
  <si>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</si>
  <si>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</si>
  <si>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</si>
  <si>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</si>
  <si>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</si>
  <si>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</si>
  <si>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ELC_LV</t>
  </si>
  <si>
    <t>ELC_FIN</t>
  </si>
  <si>
    <t>Low Voltage</t>
  </si>
  <si>
    <t>Final demand</t>
  </si>
  <si>
    <t>EX_PP_WIND</t>
  </si>
  <si>
    <t>Power Plant - Wind Tuebine</t>
  </si>
  <si>
    <t>MIN_WIND_ON</t>
  </si>
  <si>
    <t>Supply Wind Onshore</t>
  </si>
  <si>
    <t>WIND_ON</t>
  </si>
  <si>
    <t>Wind Onshore</t>
  </si>
  <si>
    <t>\I:</t>
  </si>
  <si>
    <t>Demand process</t>
  </si>
  <si>
    <t>DMD</t>
  </si>
  <si>
    <t>DMD_FIN_ELC</t>
  </si>
  <si>
    <t>Final electricity demand</t>
  </si>
  <si>
    <t>PRE</t>
  </si>
  <si>
    <t>EX_ELC_GRID</t>
  </si>
  <si>
    <t>Existing Grid</t>
  </si>
  <si>
    <t>SEASON</t>
  </si>
  <si>
    <t>DAYNITE</t>
  </si>
  <si>
    <t>COM_FR</t>
  </si>
  <si>
    <t>TimeSlice</t>
  </si>
  <si>
    <t>S1W1D1</t>
  </si>
  <si>
    <t>S1W1D2</t>
  </si>
  <si>
    <t>S1W2D1</t>
  </si>
  <si>
    <t>S1W2D2</t>
  </si>
  <si>
    <t>S2W1D1</t>
  </si>
  <si>
    <t>S2W1D2</t>
  </si>
  <si>
    <t>S2W2D1</t>
  </si>
  <si>
    <t>S2W2D2</t>
  </si>
  <si>
    <t>PL</t>
  </si>
  <si>
    <t>STG_DN_1P</t>
  </si>
  <si>
    <t>Storage Tech</t>
  </si>
  <si>
    <t>ELC_MV</t>
  </si>
  <si>
    <t>Electricity medium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</si>
</sst>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2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  <font>
      <i/>
      <sz val="10"/>
      <color rgb="FF00000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20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164" fontId="19" fillId="4" borderId="2" xfId="0" applyNumberFormat="1" applyFont="1" applyFill="1" applyBorder="1" applyAlignment="1">
      <alignment horizontal="center" vertical="center" wrapText="1"/>
    </xf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8" fillId="3" borderId="7" xfId="0" applyFont="1" applyFill="1" applyBorder="1"/>
    <xf numFmtId="0" fontId="18" fillId="6" borderId="7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0" fontId="0" fillId="8" borderId="9" xfId="0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3" xfId="0" applyFill="1" applyBorder="1"/>
    <xf numFmtId="0" fontId="0" fillId="8" borderId="14" xfId="0" applyFill="1" applyBorder="1"/>
    <xf numFmtId="0" fontId="0" fillId="8" borderId="10" xfId="0" applyFill="1" applyBorder="1"/>
    <xf numFmtId="0" fontId="0" fillId="8" borderId="12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9" xfId="0" applyNumberFormat="1" applyFont="1" applyFill="1" applyBorder="1"/>
    <xf numFmtId="164" fontId="9" fillId="3" borderId="1" xfId="0" applyNumberFormat="1" applyFont="1" applyFill="1" applyBorder="1"/>
    <xf numFmtId="164" fontId="9" fillId="3" borderId="10" xfId="0" applyNumberFormat="1" applyFont="1" applyFill="1" applyBorder="1"/>
    <xf numFmtId="164" fontId="19" fillId="4" borderId="15" xfId="0" applyNumberFormat="1" applyFont="1" applyFill="1" applyBorder="1" applyAlignment="1">
      <alignment horizontal="center" vertical="center" wrapText="1"/>
    </xf>
    <xf numFmtId="164" fontId="19" fillId="4" borderId="16" xfId="0" applyNumberFormat="1" applyFont="1" applyFill="1" applyBorder="1" applyAlignment="1">
      <alignment horizontal="center" vertical="center" wrapText="1"/>
    </xf>
    <xf numFmtId="0" fontId="18" fillId="3" borderId="19" xfId="0" applyFont="1" applyFill="1" applyBorder="1"/>
    <xf numFmtId="0" fontId="18" fillId="3" borderId="20" xfId="0" applyFont="1" applyFill="1" applyBorder="1"/>
    <xf numFmtId="0" fontId="18" fillId="6" borderId="19" xfId="0" applyFont="1" applyFill="1" applyBorder="1"/>
    <xf numFmtId="0" fontId="18" fillId="6" borderId="20" xfId="0" applyFont="1" applyFill="1" applyBorder="1"/>
    <xf numFmtId="0" fontId="9" fillId="3" borderId="9" xfId="0" applyFont="1" applyFill="1" applyBorder="1"/>
    <xf numFmtId="0" fontId="9" fillId="3" borderId="1" xfId="0" applyFont="1" applyFill="1" applyBorder="1"/>
    <xf numFmtId="0" fontId="9" fillId="3" borderId="10" xfId="0" applyFont="1" applyFill="1" applyBorder="1"/>
    <xf numFmtId="0" fontId="9" fillId="3" borderId="1" xfId="2" applyFont="1" applyFill="1" applyBorder="1" applyAlignment="1">
      <alignment horizontal="left"/>
    </xf>
    <xf numFmtId="164" fontId="19" fillId="4" borderId="21" xfId="0" applyNumberFormat="1" applyFont="1" applyFill="1" applyBorder="1" applyAlignment="1">
      <alignment horizontal="center" vertical="center" wrapText="1"/>
    </xf>
    <xf numFmtId="164" fontId="19" fillId="4" borderId="22" xfId="0" applyNumberFormat="1" applyFont="1" applyFill="1" applyBorder="1" applyAlignment="1">
      <alignment horizontal="center" vertical="center" wrapText="1"/>
    </xf>
    <xf numFmtId="164" fontId="18" fillId="5" borderId="21" xfId="1" applyNumberFormat="1" applyFont="1" applyFill="1" applyBorder="1" applyAlignment="1">
      <alignment horizontal="center" vertical="center" wrapText="1"/>
    </xf>
    <xf numFmtId="164" fontId="18" fillId="5" borderId="22" xfId="1" applyNumberFormat="1" applyFont="1" applyFill="1" applyBorder="1" applyAlignment="1">
      <alignment horizontal="center" vertical="center" wrapText="1"/>
    </xf>
    <xf numFmtId="0" fontId="18" fillId="3" borderId="11" xfId="0" applyFont="1" applyFill="1" applyBorder="1"/>
    <xf numFmtId="0" fontId="18" fillId="3" borderId="12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23" xfId="0" applyFont="1" applyFill="1" applyBorder="1"/>
    <xf numFmtId="0" fontId="18" fillId="7" borderId="24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22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left"/>
    </xf>
    <xf numFmtId="2" fontId="0" fillId="0" borderId="25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27" xfId="0" applyFill="1" applyBorder="1"/>
    <xf numFmtId="164" fontId="19" fillId="4" borderId="28" xfId="0" applyNumberFormat="1" applyFont="1" applyFill="1" applyBorder="1" applyAlignment="1">
      <alignment horizontal="center" vertical="center" wrapText="1"/>
    </xf>
    <xf numFmtId="0" fontId="0" fillId="3" borderId="31" xfId="0" applyFill="1" applyBorder="1"/>
    <xf numFmtId="0" fontId="18" fillId="6" borderId="11" xfId="0" applyFont="1" applyFill="1" applyBorder="1"/>
    <xf numFmtId="0" fontId="18" fillId="6" borderId="12" xfId="0" applyFont="1" applyFill="1" applyBorder="1"/>
    <xf numFmtId="0" fontId="0" fillId="9" borderId="32" xfId="0" applyFill="1" applyBorder="1"/>
    <xf numFmtId="9" fontId="0" fillId="0" borderId="0" xfId="0" applyNumberFormat="1"/>
    <xf numFmtId="0" fontId="18" fillId="3" borderId="0" xfId="0" applyFont="1" applyFill="1"/>
    <xf numFmtId="9" fontId="18" fillId="3" borderId="0" xfId="0" applyNumberFormat="1" applyFont="1" applyFill="1"/>
    <xf numFmtId="0" fontId="9" fillId="3" borderId="12" xfId="0" applyFont="1" applyFill="1" applyBorder="1"/>
    <xf numFmtId="0" fontId="21" fillId="5" borderId="21" xfId="1" applyFont="1" applyFill="1" applyBorder="1" applyAlignment="1">
      <alignment horizontal="center" vertical="center" wrapText="1"/>
    </xf>
    <xf numFmtId="0" fontId="21" fillId="5" borderId="2" xfId="1" applyFont="1" applyFill="1" applyBorder="1" applyAlignment="1">
      <alignment horizontal="center" vertical="center" wrapText="1"/>
    </xf>
    <xf numFmtId="0" fontId="21" fillId="5" borderId="22" xfId="1" applyFont="1" applyFill="1" applyBorder="1" applyAlignment="1">
      <alignment horizontal="center" vertical="center" wrapText="1"/>
    </xf>
    <xf numFmtId="0" fontId="21" fillId="7" borderId="23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horizontal="center" vertical="center" wrapText="1"/>
    </xf>
    <xf numFmtId="0" fontId="21" fillId="7" borderId="24" xfId="1" applyFont="1" applyFill="1" applyBorder="1" applyAlignment="1">
      <alignment horizontal="center" vertical="center" wrapText="1"/>
    </xf>
    <xf numFmtId="0" fontId="18" fillId="6" borderId="0" xfId="0" applyFont="1" applyFill="1"/>
    <xf numFmtId="9" fontId="18" fillId="6" borderId="0" xfId="0" applyNumberFormat="1" applyFont="1" applyFill="1"/>
    <xf numFmtId="0" fontId="18" fillId="3" borderId="35" xfId="0" applyFont="1" applyFill="1" applyBorder="1"/>
    <xf numFmtId="0" fontId="18" fillId="3" borderId="36" xfId="0" applyFont="1" applyFill="1" applyBorder="1"/>
    <xf numFmtId="9" fontId="18" fillId="3" borderId="36" xfId="0" applyNumberFormat="1" applyFont="1" applyFill="1" applyBorder="1"/>
    <xf numFmtId="164" fontId="21" fillId="7" borderId="23" xfId="1" applyNumberFormat="1" applyFont="1" applyFill="1" applyBorder="1" applyAlignment="1">
      <alignment horizontal="center" vertical="center" wrapText="1"/>
    </xf>
    <xf numFmtId="164" fontId="21" fillId="7" borderId="4" xfId="1" applyNumberFormat="1" applyFont="1" applyFill="1" applyBorder="1" applyAlignment="1">
      <alignment horizontal="center" vertical="center" wrapText="1"/>
    </xf>
    <xf numFmtId="164" fontId="21" fillId="7" borderId="24" xfId="1" applyNumberFormat="1" applyFont="1" applyFill="1" applyBorder="1" applyAlignment="1">
      <alignment horizontal="center" vertical="center" wrapText="1"/>
    </xf>
    <xf numFmtId="0" fontId="21" fillId="7" borderId="34" xfId="0" applyFont="1" applyFill="1" applyBorder="1"/>
    <xf numFmtId="0" fontId="21" fillId="7" borderId="23" xfId="0" applyFont="1" applyFill="1" applyBorder="1"/>
    <xf numFmtId="0" fontId="21" fillId="7" borderId="4" xfId="0" applyFont="1" applyFill="1" applyBorder="1"/>
    <xf numFmtId="0" fontId="21" fillId="7" borderId="24" xfId="0" applyFont="1" applyFill="1" applyBorder="1"/>
    <xf numFmtId="0" fontId="18" fillId="3" borderId="37" xfId="0" applyFont="1" applyFill="1" applyBorder="1"/>
    <xf numFmtId="0" fontId="9" fillId="3" borderId="0" xfId="0" applyFont="1" applyFill="1"/>
    <xf numFmtId="0" fontId="21" fillId="5" borderId="2" xfId="0" applyFont="1" applyFill="1" applyBorder="1"/>
    <xf numFmtId="0" fontId="21" fillId="5" borderId="33" xfId="0" applyFont="1" applyFill="1" applyBorder="1"/>
    <xf numFmtId="164" fontId="21" fillId="5" borderId="21" xfId="1" applyNumberFormat="1" applyFont="1" applyFill="1" applyBorder="1" applyAlignment="1">
      <alignment horizontal="center" vertical="center" wrapText="1"/>
    </xf>
    <xf numFmtId="164" fontId="21" fillId="5" borderId="2" xfId="1" applyNumberFormat="1" applyFont="1" applyFill="1" applyBorder="1" applyAlignment="1">
      <alignment horizontal="center" vertical="center" wrapText="1"/>
    </xf>
    <xf numFmtId="164" fontId="21" fillId="5" borderId="22" xfId="1" applyNumberFormat="1" applyFont="1" applyFill="1" applyBorder="1" applyAlignment="1">
      <alignment horizontal="center" vertical="center" wrapText="1"/>
    </xf>
    <xf numFmtId="0" fontId="18" fillId="3" borderId="38" xfId="0" applyFont="1" applyFill="1" applyBorder="1"/>
    <xf numFmtId="164" fontId="21" fillId="5" borderId="15" xfId="1" applyNumberFormat="1" applyFont="1" applyFill="1" applyBorder="1" applyAlignment="1">
      <alignment horizontal="center" vertical="center" wrapText="1"/>
    </xf>
    <xf numFmtId="164" fontId="21" fillId="5" borderId="6" xfId="1" applyNumberFormat="1" applyFont="1" applyFill="1" applyBorder="1" applyAlignment="1">
      <alignment horizontal="center" vertical="center" wrapText="1"/>
    </xf>
    <xf numFmtId="164" fontId="21" fillId="5" borderId="16" xfId="1" applyNumberFormat="1" applyFont="1" applyFill="1" applyBorder="1" applyAlignment="1">
      <alignment horizontal="center" vertical="center" wrapText="1"/>
    </xf>
    <xf numFmtId="0" fontId="21" fillId="7" borderId="17" xfId="0" applyFont="1" applyFill="1" applyBorder="1"/>
    <xf numFmtId="0" fontId="21" fillId="7" borderId="8" xfId="0" applyFont="1" applyFill="1" applyBorder="1"/>
    <xf numFmtId="0" fontId="21" fillId="7" borderId="18" xfId="0" applyFont="1" applyFill="1" applyBorder="1"/>
    <xf numFmtId="0" fontId="18" fillId="6" borderId="36" xfId="0" applyFont="1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29" xfId="0" applyNumberFormat="1" applyFont="1" applyFill="1" applyBorder="1" applyAlignment="1">
      <alignment horizontal="center" vertical="center" wrapText="1"/>
    </xf>
    <xf numFmtId="164" fontId="19" fillId="4" borderId="30" xfId="0" applyNumberFormat="1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27" xfId="0" applyFill="1" applyBorder="1" applyAlignment="1">
      <alignment horizontal="center"/>
    </xf>
    <xf numFmtId="164" fontId="19" fillId="4" borderId="26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31" xfId="0" applyFill="1" applyBorder="1" applyAlignment="1">
      <alignment horizontal="center"/>
    </xf>
    <xf numFmtId="0" fontId="1" fillId="2" borderId="27" xfId="0" quotePrefix="1" applyFont="1" applyFill="1" applyBorder="1" applyAlignment="1">
      <alignment horizontal="center"/>
    </xf>
    <xf numFmtId="0" fontId="18" fillId="6" borderId="0" xfId="0" applyFont="1" applyFill="1" applyBorder="1"/>
    <xf numFmtId="0" fontId="18" fillId="3" borderId="0" xfId="0" applyFont="1" applyFill="1" applyBorder="1"/>
  </cellXfs>
  <cellStyles count="4">
    <cellStyle name="Normal" xfId="0" builtinId="0"/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19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23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defaultRowHeight="14.25" x14ac:dyDescent="0.45"/>
  <cols>
    <col min="2" max="2" width="19.1328125" customWidth="1"/>
    <col min="3" max="3" width="15.3984375" customWidth="1"/>
    <col min="6" max="6" width="4.73046875" bestFit="1" customWidth="1"/>
    <col min="7" max="7" width="9.265625" bestFit="1" customWidth="1"/>
    <col min="8" max="8" width="1.73046875" bestFit="1" customWidth="1"/>
    <col min="9" max="9" width="5.265625" bestFit="1" customWidth="1"/>
    <col min="10" max="10" width="9" bestFit="1" customWidth="1"/>
    <col min="11" max="11" width="1.73046875" bestFit="1" customWidth="1"/>
    <col min="12" max="12" width="8.73046875" bestFit="1" customWidth="1"/>
    <col min="13" max="13" width="7.265625" bestFit="1" customWidth="1"/>
  </cols>
  <sheetData>
    <row r="2" spans="2:13" x14ac:dyDescent="0.45">
      <c r="B2" s="9" t="s">
        <v>92</v>
      </c>
      <c r="F2" s="104" t="s">
        <v>91</v>
      </c>
      <c r="G2" s="104"/>
      <c r="H2" s="104"/>
      <c r="I2" s="104"/>
      <c r="J2" s="104"/>
      <c r="K2" s="104"/>
      <c r="L2" s="104"/>
      <c r="M2" s="104"/>
    </row>
    <row r="3" spans="2:13" x14ac:dyDescent="0.45">
      <c r="F3" s="9"/>
    </row>
    <row r="4" spans="2:13" x14ac:dyDescent="0.45">
      <c r="B4" t="s">
        <v>70</v>
      </c>
      <c r="C4" t="s">
        <v>71</v>
      </c>
    </row>
    <row r="5" spans="2:13" x14ac:dyDescent="0.45">
      <c r="B5" t="s">
        <v>72</v>
      </c>
      <c r="C5" t="s">
        <v>73</v>
      </c>
      <c r="D5" t="s">
        <v>74</v>
      </c>
      <c r="F5">
        <v>1</v>
      </c>
      <c r="G5" t="s">
        <v>77</v>
      </c>
      <c r="H5" s="7" t="s">
        <v>78</v>
      </c>
      <c r="I5" s="7">
        <v>1</v>
      </c>
      <c r="J5" t="s">
        <v>79</v>
      </c>
      <c r="K5" s="7" t="s">
        <v>78</v>
      </c>
      <c r="L5" s="7">
        <v>1</v>
      </c>
      <c r="M5" t="s">
        <v>76</v>
      </c>
    </row>
    <row r="6" spans="2:13" x14ac:dyDescent="0.45">
      <c r="F6">
        <v>1</v>
      </c>
      <c r="G6" t="s">
        <v>80</v>
      </c>
      <c r="H6" s="7" t="s">
        <v>78</v>
      </c>
      <c r="I6" s="7">
        <v>1</v>
      </c>
      <c r="J6" t="s">
        <v>81</v>
      </c>
      <c r="K6" s="7" t="s">
        <v>78</v>
      </c>
      <c r="L6" s="7">
        <v>1</v>
      </c>
      <c r="M6" t="s">
        <v>75</v>
      </c>
    </row>
    <row r="8" spans="2:13" x14ac:dyDescent="0.45">
      <c r="B8" t="s">
        <v>82</v>
      </c>
      <c r="C8" t="s">
        <v>83</v>
      </c>
    </row>
    <row r="9" spans="2:13" x14ac:dyDescent="0.45">
      <c r="B9" t="s">
        <v>84</v>
      </c>
      <c r="C9" t="s">
        <v>56</v>
      </c>
      <c r="F9">
        <v>1</v>
      </c>
      <c r="G9" t="s">
        <v>56</v>
      </c>
      <c r="H9" s="7" t="s">
        <v>78</v>
      </c>
      <c r="I9" s="8">
        <v>1000</v>
      </c>
      <c r="J9" t="s">
        <v>88</v>
      </c>
      <c r="K9" s="7" t="s">
        <v>78</v>
      </c>
      <c r="L9" s="8">
        <v>1000000</v>
      </c>
      <c r="M9" t="s">
        <v>89</v>
      </c>
    </row>
    <row r="11" spans="2:13" x14ac:dyDescent="0.45">
      <c r="B11" t="s">
        <v>85</v>
      </c>
      <c r="C11" t="s">
        <v>86</v>
      </c>
    </row>
    <row r="12" spans="2:13" x14ac:dyDescent="0.45">
      <c r="B12" t="s">
        <v>87</v>
      </c>
      <c r="C12" t="s">
        <v>69</v>
      </c>
      <c r="F12">
        <v>1</v>
      </c>
      <c r="G12" t="s">
        <v>69</v>
      </c>
      <c r="H12" s="7" t="s">
        <v>78</v>
      </c>
      <c r="I12" s="8">
        <v>1000</v>
      </c>
      <c r="J12" t="s">
        <v>51</v>
      </c>
      <c r="K12" s="7" t="s">
        <v>78</v>
      </c>
      <c r="L12" s="8">
        <v>1000000</v>
      </c>
      <c r="M12" t="s">
        <v>90</v>
      </c>
    </row>
    <row r="14" spans="2:13" x14ac:dyDescent="0.45">
      <c r="B14" t="s">
        <v>93</v>
      </c>
      <c r="C14" t="s">
        <v>94</v>
      </c>
      <c r="F14">
        <v>1000</v>
      </c>
      <c r="G14" t="s">
        <v>94</v>
      </c>
      <c r="H14" s="7" t="s">
        <v>78</v>
      </c>
      <c r="I14">
        <v>1</v>
      </c>
      <c r="J14" t="s">
        <v>95</v>
      </c>
    </row>
    <row r="15" spans="2:13" x14ac:dyDescent="0.45">
      <c r="B15" t="s">
        <v>96</v>
      </c>
      <c r="C15" t="s">
        <v>55</v>
      </c>
      <c r="F15">
        <v>1</v>
      </c>
      <c r="G15" t="s">
        <v>97</v>
      </c>
      <c r="H15" s="7" t="s">
        <v>78</v>
      </c>
      <c r="I15">
        <v>1</v>
      </c>
      <c r="J15" t="s">
        <v>98</v>
      </c>
      <c r="K15" s="7" t="s">
        <v>78</v>
      </c>
      <c r="L15">
        <v>1</v>
      </c>
      <c r="M15" t="s">
        <v>99</v>
      </c>
    </row>
    <row r="17" spans="2:2" x14ac:dyDescent="0.45">
      <c r="B17" s="9" t="s">
        <v>100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defaultRowHeight="14.25" x14ac:dyDescent="0.45"/>
  <sheetData>
    <row r="2" spans="2:2" x14ac:dyDescent="0.45">
      <c r="B2" s="9" t="s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17" sqref="O17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"/>
  <sheetViews>
    <sheetView tabSelected="1" topLeftCell="A8" zoomScaleNormal="100" workbookViewId="0">
      <selection activeCell="F20" sqref="F20"/>
    </sheetView>
  </sheetViews>
  <sheetFormatPr defaultRowHeight="14.25" x14ac:dyDescent="0.45"/>
  <cols>
    <col min="1" max="1" width="2.73046875" customWidth="1"/>
    <col min="2" max="2" width="3.265625" customWidth="1"/>
    <col min="3" max="3" width="14.265625" customWidth="1"/>
    <col min="4" max="4" width="14" customWidth="1"/>
    <col min="5" max="5" width="13.265625" customWidth="1"/>
    <col min="6" max="6" width="20.265625" customWidth="1"/>
    <col min="7" max="7" width="5.86328125" customWidth="1"/>
    <col min="8" max="8" width="9.86328125" customWidth="1"/>
    <col min="9" max="9" width="10.265625" customWidth="1"/>
    <col min="10" max="10" width="9.3984375" customWidth="1"/>
    <col min="11" max="11" width="10.59765625" customWidth="1"/>
    <col min="12" max="12" width="3.265625" customWidth="1"/>
  </cols>
  <sheetData>
    <row r="2" spans="2:12" ht="17.25" x14ac:dyDescent="0.45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4.65" thickBot="1" x14ac:dyDescent="0.5"/>
    <row r="4" spans="2:12" ht="18" customHeight="1" x14ac:dyDescent="0.45">
      <c r="B4" s="17"/>
      <c r="C4" s="24"/>
      <c r="D4" s="24"/>
      <c r="E4" s="25"/>
      <c r="F4" s="25"/>
      <c r="G4" s="25"/>
      <c r="H4" s="25"/>
      <c r="I4" s="25"/>
      <c r="J4" s="25"/>
      <c r="K4" s="25"/>
      <c r="L4" s="22"/>
    </row>
    <row r="5" spans="2:12" ht="18.75" customHeight="1" thickBot="1" x14ac:dyDescent="0.5">
      <c r="B5" s="18"/>
      <c r="C5" s="90" t="s">
        <v>1</v>
      </c>
      <c r="D5" s="90"/>
      <c r="E5" s="90"/>
      <c r="F5" s="90"/>
      <c r="G5" s="90"/>
      <c r="H5" s="90"/>
      <c r="I5" s="90"/>
      <c r="J5" s="90"/>
      <c r="K5" s="90"/>
      <c r="L5" s="23"/>
    </row>
    <row r="6" spans="2:12" ht="18.75" customHeight="1" thickBot="1" x14ac:dyDescent="0.5">
      <c r="B6" s="18"/>
      <c r="C6" s="55" t="s">
        <v>135</v>
      </c>
      <c r="D6" s="55" t="s">
        <v>21</v>
      </c>
      <c r="E6" s="55" t="s">
        <v>2</v>
      </c>
      <c r="F6" s="55" t="s">
        <v>3</v>
      </c>
      <c r="G6" s="55" t="s">
        <v>4</v>
      </c>
      <c r="H6" s="55" t="s">
        <v>5</v>
      </c>
      <c r="I6" s="55" t="s">
        <v>6</v>
      </c>
      <c r="J6" s="55" t="s">
        <v>7</v>
      </c>
      <c r="K6" s="55" t="s">
        <v>8</v>
      </c>
      <c r="L6" s="23"/>
    </row>
    <row r="7" spans="2:12" ht="18.75" customHeight="1" thickBot="1" x14ac:dyDescent="0.5">
      <c r="B7" s="18"/>
      <c r="C7" s="92" t="s">
        <v>9</v>
      </c>
      <c r="D7" s="92" t="s">
        <v>30</v>
      </c>
      <c r="E7" s="92" t="s">
        <v>10</v>
      </c>
      <c r="F7" s="92" t="s">
        <v>11</v>
      </c>
      <c r="G7" s="92" t="s">
        <v>4</v>
      </c>
      <c r="H7" s="92" t="s">
        <v>12</v>
      </c>
      <c r="I7" s="92" t="s">
        <v>13</v>
      </c>
      <c r="J7" s="92" t="s">
        <v>14</v>
      </c>
      <c r="K7" s="92" t="s">
        <v>58</v>
      </c>
      <c r="L7" s="23"/>
    </row>
    <row r="8" spans="2:12" ht="18.75" customHeight="1" x14ac:dyDescent="0.45">
      <c r="B8" s="18"/>
      <c r="C8" s="68" t="s">
        <v>15</v>
      </c>
      <c r="D8" s="68"/>
      <c r="E8" s="68" t="s">
        <v>101</v>
      </c>
      <c r="F8" s="68" t="s">
        <v>57</v>
      </c>
      <c r="G8" s="68" t="s">
        <v>56</v>
      </c>
      <c r="H8" s="68"/>
      <c r="I8" s="68" t="s">
        <v>186</v>
      </c>
      <c r="J8" s="68"/>
      <c r="K8" s="68"/>
      <c r="L8" s="23"/>
    </row>
    <row r="9" spans="2:12" ht="18.75" customHeight="1" x14ac:dyDescent="0.45">
      <c r="B9" s="18"/>
      <c r="C9" s="77" t="s">
        <v>15</v>
      </c>
      <c r="D9" s="77"/>
      <c r="E9" s="77" t="s">
        <v>16</v>
      </c>
      <c r="F9" s="77" t="s">
        <v>53</v>
      </c>
      <c r="G9" s="77" t="s">
        <v>56</v>
      </c>
      <c r="H9" s="77"/>
      <c r="I9" s="77" t="s">
        <v>186</v>
      </c>
      <c r="J9" s="77"/>
      <c r="K9" s="77"/>
      <c r="L9" s="23"/>
    </row>
    <row r="10" spans="2:12" ht="18.75" customHeight="1" x14ac:dyDescent="0.45">
      <c r="B10" s="18"/>
      <c r="C10" s="68" t="s">
        <v>15</v>
      </c>
      <c r="D10" s="68"/>
      <c r="E10" s="68" t="s">
        <v>176</v>
      </c>
      <c r="F10" s="68" t="s">
        <v>177</v>
      </c>
      <c r="G10" s="68" t="s">
        <v>56</v>
      </c>
      <c r="H10" s="68"/>
      <c r="I10" s="68" t="s">
        <v>186</v>
      </c>
      <c r="J10" s="68"/>
      <c r="K10" s="68"/>
      <c r="L10" s="23"/>
    </row>
    <row r="11" spans="2:12" ht="18.75" customHeight="1" x14ac:dyDescent="0.45">
      <c r="B11" s="18"/>
      <c r="C11" s="77" t="s">
        <v>15</v>
      </c>
      <c r="D11" s="77"/>
      <c r="E11" s="77" t="s">
        <v>17</v>
      </c>
      <c r="F11" s="77" t="s">
        <v>54</v>
      </c>
      <c r="G11" s="77" t="s">
        <v>56</v>
      </c>
      <c r="H11" s="77"/>
      <c r="I11" s="77" t="s">
        <v>187</v>
      </c>
      <c r="J11" s="77"/>
      <c r="K11" s="77" t="s">
        <v>18</v>
      </c>
      <c r="L11" s="23"/>
    </row>
    <row r="12" spans="2:12" ht="18.75" customHeight="1" x14ac:dyDescent="0.45">
      <c r="B12" s="18"/>
      <c r="C12" s="68" t="s">
        <v>15</v>
      </c>
      <c r="D12" s="68"/>
      <c r="E12" s="68" t="s">
        <v>168</v>
      </c>
      <c r="F12" s="68" t="s">
        <v>170</v>
      </c>
      <c r="G12" s="68" t="s">
        <v>56</v>
      </c>
      <c r="H12" s="68"/>
      <c r="I12" s="68" t="s">
        <v>187</v>
      </c>
      <c r="J12" s="68"/>
      <c r="K12" s="68"/>
      <c r="L12" s="23"/>
    </row>
    <row r="13" spans="2:12" ht="18.75" customHeight="1" thickBot="1" x14ac:dyDescent="0.5">
      <c r="B13" s="18"/>
      <c r="C13" s="103" t="s">
        <v>138</v>
      </c>
      <c r="D13" s="103"/>
      <c r="E13" s="103" t="s">
        <v>169</v>
      </c>
      <c r="F13" s="103" t="s">
        <v>171</v>
      </c>
      <c r="G13" s="103" t="s">
        <v>56</v>
      </c>
      <c r="H13" s="103"/>
      <c r="I13" s="103" t="s">
        <v>187</v>
      </c>
      <c r="J13" s="103"/>
      <c r="K13" s="103"/>
      <c r="L13" s="23"/>
    </row>
    <row r="14" spans="2:12" ht="18.75" customHeight="1" thickTop="1" x14ac:dyDescent="0.45">
      <c r="B14" s="18"/>
      <c r="C14" s="118" t="s">
        <v>157</v>
      </c>
      <c r="D14" s="118"/>
      <c r="E14" s="119" t="s">
        <v>201</v>
      </c>
      <c r="F14" s="118" t="s">
        <v>202</v>
      </c>
      <c r="G14" s="118" t="s">
        <v>56</v>
      </c>
      <c r="H14" s="118"/>
      <c r="I14" s="118" t="s">
        <v>187</v>
      </c>
      <c r="J14" s="118"/>
      <c r="K14" s="118"/>
      <c r="L14" s="23"/>
    </row>
    <row r="15" spans="2:12" ht="18" customHeight="1" thickBot="1" x14ac:dyDescent="0.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8" spans="3:5" ht="17.649999999999999" thickBot="1" x14ac:dyDescent="0.5">
      <c r="C18" s="117" t="s">
        <v>134</v>
      </c>
      <c r="D18" s="117"/>
      <c r="E18" s="117"/>
    </row>
    <row r="19" spans="3:5" x14ac:dyDescent="0.45">
      <c r="C19" s="62" t="s">
        <v>140</v>
      </c>
      <c r="D19" s="106" t="s">
        <v>141</v>
      </c>
      <c r="E19" s="107"/>
    </row>
    <row r="20" spans="3:5" x14ac:dyDescent="0.45">
      <c r="C20" s="59" t="s">
        <v>15</v>
      </c>
      <c r="D20" s="110" t="s">
        <v>139</v>
      </c>
      <c r="E20" s="110"/>
    </row>
    <row r="21" spans="3:5" x14ac:dyDescent="0.45">
      <c r="C21" s="60" t="s">
        <v>137</v>
      </c>
      <c r="D21" s="109" t="s">
        <v>142</v>
      </c>
      <c r="E21" s="109"/>
    </row>
    <row r="22" spans="3:5" x14ac:dyDescent="0.45">
      <c r="C22" s="59" t="s">
        <v>138</v>
      </c>
      <c r="D22" s="110" t="s">
        <v>143</v>
      </c>
      <c r="E22" s="110"/>
    </row>
    <row r="23" spans="3:5" x14ac:dyDescent="0.45">
      <c r="C23" s="60" t="s">
        <v>144</v>
      </c>
      <c r="D23" s="109" t="s">
        <v>146</v>
      </c>
      <c r="E23" s="109"/>
    </row>
    <row r="24" spans="3:5" ht="14.65" thickBot="1" x14ac:dyDescent="0.5">
      <c r="C24" s="61" t="s">
        <v>145</v>
      </c>
      <c r="D24" s="108" t="s">
        <v>147</v>
      </c>
      <c r="E24" s="108"/>
    </row>
  </sheetData>
  <mergeCells count="7">
    <mergeCell ref="C18:E18"/>
    <mergeCell ref="D19:E19"/>
    <mergeCell ref="D24:E24"/>
    <mergeCell ref="D23:E23"/>
    <mergeCell ref="D22:E22"/>
    <mergeCell ref="D21:E21"/>
    <mergeCell ref="D20:E2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35"/>
  <sheetViews>
    <sheetView topLeftCell="A7" zoomScale="109" zoomScaleNormal="160" workbookViewId="0">
      <selection activeCell="C22" sqref="C22"/>
    </sheetView>
  </sheetViews>
  <sheetFormatPr defaultRowHeight="14.25" x14ac:dyDescent="0.45"/>
  <cols>
    <col min="1" max="1" width="2.73046875" customWidth="1"/>
    <col min="2" max="2" width="3.265625" customWidth="1"/>
    <col min="4" max="4" width="10" customWidth="1"/>
    <col min="5" max="5" width="16.265625" bestFit="1" customWidth="1"/>
    <col min="6" max="6" width="22.73046875" bestFit="1" customWidth="1"/>
    <col min="9" max="9" width="10.3984375" customWidth="1"/>
    <col min="10" max="10" width="10.86328125" customWidth="1"/>
    <col min="12" max="12" width="3.265625" customWidth="1"/>
  </cols>
  <sheetData>
    <row r="2" spans="2:12" ht="17.25" x14ac:dyDescent="0.45">
      <c r="C2" s="1" t="s">
        <v>37</v>
      </c>
      <c r="D2" s="2"/>
      <c r="E2" s="2"/>
    </row>
    <row r="3" spans="2:12" ht="14.65" thickBot="1" x14ac:dyDescent="0.5"/>
    <row r="4" spans="2:12" ht="18" customHeight="1" thickBot="1" x14ac:dyDescent="0.5">
      <c r="B4" s="17"/>
      <c r="C4" s="26"/>
      <c r="D4" s="26"/>
      <c r="E4" s="26"/>
      <c r="F4" s="26"/>
      <c r="G4" s="26"/>
      <c r="H4" s="26"/>
      <c r="I4" s="26"/>
      <c r="J4" s="26"/>
      <c r="K4" s="26"/>
      <c r="L4" s="22"/>
    </row>
    <row r="5" spans="2:12" ht="18.75" customHeight="1" thickBot="1" x14ac:dyDescent="0.5">
      <c r="B5" s="18"/>
      <c r="C5" s="27" t="s">
        <v>19</v>
      </c>
      <c r="D5" s="28"/>
      <c r="E5" s="28"/>
      <c r="F5" s="28"/>
      <c r="G5" s="28"/>
      <c r="H5" s="28"/>
      <c r="I5" s="28"/>
      <c r="J5" s="28"/>
      <c r="K5" s="29"/>
      <c r="L5" s="23"/>
    </row>
    <row r="6" spans="2:12" ht="18.75" customHeight="1" thickBot="1" x14ac:dyDescent="0.5">
      <c r="B6" s="18"/>
      <c r="C6" s="30" t="s">
        <v>20</v>
      </c>
      <c r="D6" s="16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16" t="s">
        <v>26</v>
      </c>
      <c r="J6" s="16" t="s">
        <v>27</v>
      </c>
      <c r="K6" s="31" t="s">
        <v>28</v>
      </c>
      <c r="L6" s="23"/>
    </row>
    <row r="7" spans="2:12" ht="28.5" customHeight="1" x14ac:dyDescent="0.45">
      <c r="B7" s="18"/>
      <c r="C7" s="97" t="s">
        <v>29</v>
      </c>
      <c r="D7" s="98" t="s">
        <v>30</v>
      </c>
      <c r="E7" s="98" t="s">
        <v>31</v>
      </c>
      <c r="F7" s="98" t="s">
        <v>32</v>
      </c>
      <c r="G7" s="98" t="s">
        <v>33</v>
      </c>
      <c r="H7" s="98" t="s">
        <v>34</v>
      </c>
      <c r="I7" s="98" t="s">
        <v>13</v>
      </c>
      <c r="J7" s="98" t="s">
        <v>35</v>
      </c>
      <c r="K7" s="99" t="s">
        <v>36</v>
      </c>
      <c r="L7" s="23"/>
    </row>
    <row r="8" spans="2:12" ht="18.75" customHeight="1" x14ac:dyDescent="0.45">
      <c r="B8" s="18"/>
      <c r="C8" s="100" t="s">
        <v>65</v>
      </c>
      <c r="D8" s="101"/>
      <c r="E8" s="101"/>
      <c r="F8" s="101"/>
      <c r="G8" s="101"/>
      <c r="H8" s="101"/>
      <c r="I8" s="101"/>
      <c r="J8" s="101"/>
      <c r="K8" s="102"/>
      <c r="L8" s="23"/>
    </row>
    <row r="9" spans="2:12" ht="18.75" customHeight="1" x14ac:dyDescent="0.45">
      <c r="B9" s="18"/>
      <c r="C9" s="32" t="s">
        <v>59</v>
      </c>
      <c r="D9" s="14"/>
      <c r="E9" s="14" t="s">
        <v>60</v>
      </c>
      <c r="F9" s="14" t="s">
        <v>61</v>
      </c>
      <c r="G9" s="14" t="s">
        <v>56</v>
      </c>
      <c r="H9" s="14" t="s">
        <v>62</v>
      </c>
      <c r="I9" s="14" t="s">
        <v>186</v>
      </c>
      <c r="J9" s="14"/>
      <c r="K9" s="33"/>
      <c r="L9" s="23"/>
    </row>
    <row r="10" spans="2:12" ht="18.75" customHeight="1" x14ac:dyDescent="0.45">
      <c r="B10" s="18"/>
      <c r="C10" s="34" t="s">
        <v>38</v>
      </c>
      <c r="D10" s="15"/>
      <c r="E10" s="15" t="s">
        <v>40</v>
      </c>
      <c r="F10" s="15" t="s">
        <v>52</v>
      </c>
      <c r="G10" s="15" t="s">
        <v>56</v>
      </c>
      <c r="H10" s="15" t="s">
        <v>62</v>
      </c>
      <c r="I10" s="15" t="s">
        <v>186</v>
      </c>
      <c r="J10" s="15"/>
      <c r="K10" s="35"/>
      <c r="L10" s="23"/>
    </row>
    <row r="11" spans="2:12" ht="18.75" customHeight="1" x14ac:dyDescent="0.45">
      <c r="B11" s="18"/>
      <c r="C11" s="32" t="s">
        <v>38</v>
      </c>
      <c r="D11" s="14"/>
      <c r="E11" s="14" t="s">
        <v>174</v>
      </c>
      <c r="F11" s="14" t="s">
        <v>175</v>
      </c>
      <c r="G11" s="14" t="s">
        <v>56</v>
      </c>
      <c r="H11" s="14" t="s">
        <v>62</v>
      </c>
      <c r="I11" s="14" t="s">
        <v>186</v>
      </c>
      <c r="J11" s="14"/>
      <c r="K11" s="33"/>
      <c r="L11" s="23"/>
    </row>
    <row r="12" spans="2:12" ht="18.75" customHeight="1" x14ac:dyDescent="0.45">
      <c r="B12" s="18"/>
      <c r="C12" s="100" t="s">
        <v>66</v>
      </c>
      <c r="D12" s="101"/>
      <c r="E12" s="101"/>
      <c r="F12" s="101"/>
      <c r="G12" s="101"/>
      <c r="H12" s="101"/>
      <c r="I12" s="101"/>
      <c r="J12" s="101"/>
      <c r="K12" s="102"/>
      <c r="L12" s="23"/>
    </row>
    <row r="13" spans="2:12" ht="18.75" customHeight="1" x14ac:dyDescent="0.45">
      <c r="B13" s="18"/>
      <c r="C13" s="32" t="s">
        <v>39</v>
      </c>
      <c r="D13" s="14"/>
      <c r="E13" s="14" t="s">
        <v>63</v>
      </c>
      <c r="F13" s="14" t="s">
        <v>67</v>
      </c>
      <c r="G13" s="14" t="s">
        <v>56</v>
      </c>
      <c r="H13" s="14" t="s">
        <v>69</v>
      </c>
      <c r="I13" s="14" t="s">
        <v>187</v>
      </c>
      <c r="J13" s="14"/>
      <c r="K13" s="33"/>
      <c r="L13" s="23"/>
    </row>
    <row r="14" spans="2:12" ht="18.75" customHeight="1" x14ac:dyDescent="0.45">
      <c r="B14" s="18"/>
      <c r="C14" s="34" t="s">
        <v>39</v>
      </c>
      <c r="D14" s="15"/>
      <c r="E14" s="15" t="s">
        <v>64</v>
      </c>
      <c r="F14" s="15" t="s">
        <v>68</v>
      </c>
      <c r="G14" s="15" t="s">
        <v>56</v>
      </c>
      <c r="H14" s="15" t="s">
        <v>69</v>
      </c>
      <c r="I14" s="15" t="s">
        <v>187</v>
      </c>
      <c r="J14" s="15"/>
      <c r="K14" s="35"/>
      <c r="L14" s="23"/>
    </row>
    <row r="15" spans="2:12" ht="18.75" customHeight="1" x14ac:dyDescent="0.45">
      <c r="B15" s="18"/>
      <c r="C15" s="68" t="s">
        <v>39</v>
      </c>
      <c r="D15" s="68"/>
      <c r="E15" s="68" t="s">
        <v>172</v>
      </c>
      <c r="F15" s="68" t="s">
        <v>173</v>
      </c>
      <c r="G15" s="68" t="s">
        <v>56</v>
      </c>
      <c r="H15" s="68" t="s">
        <v>69</v>
      </c>
      <c r="I15" s="68" t="s">
        <v>187</v>
      </c>
      <c r="J15" s="68"/>
      <c r="K15" s="68"/>
      <c r="L15" s="23"/>
    </row>
    <row r="16" spans="2:12" ht="18.75" customHeight="1" x14ac:dyDescent="0.45">
      <c r="B16" s="18"/>
      <c r="C16" s="87" t="s">
        <v>178</v>
      </c>
      <c r="D16" s="87"/>
      <c r="E16" s="87"/>
      <c r="F16" s="87"/>
      <c r="G16" s="87"/>
      <c r="H16" s="87"/>
      <c r="I16" s="87"/>
      <c r="J16" s="87"/>
      <c r="K16" s="87"/>
      <c r="L16" s="23"/>
    </row>
    <row r="17" spans="2:12" ht="18.75" customHeight="1" x14ac:dyDescent="0.45">
      <c r="B17" s="18"/>
      <c r="C17" s="68" t="s">
        <v>183</v>
      </c>
      <c r="D17" s="68"/>
      <c r="E17" s="68" t="s">
        <v>184</v>
      </c>
      <c r="F17" s="68" t="s">
        <v>185</v>
      </c>
      <c r="G17" s="68" t="s">
        <v>56</v>
      </c>
      <c r="H17" s="68" t="s">
        <v>69</v>
      </c>
      <c r="I17" s="68" t="s">
        <v>187</v>
      </c>
      <c r="J17" s="68"/>
      <c r="K17" s="68"/>
      <c r="L17" s="23"/>
    </row>
    <row r="18" spans="2:12" ht="18.75" customHeight="1" x14ac:dyDescent="0.45">
      <c r="B18" s="18"/>
      <c r="C18" s="85" t="s">
        <v>178</v>
      </c>
      <c r="D18" s="85" t="s">
        <v>179</v>
      </c>
      <c r="E18" s="85"/>
      <c r="F18" s="85"/>
      <c r="G18" s="85"/>
      <c r="H18" s="85"/>
      <c r="I18" s="85"/>
      <c r="J18" s="85"/>
      <c r="K18" s="85"/>
      <c r="L18" s="23"/>
    </row>
    <row r="19" spans="2:12" ht="18.75" customHeight="1" thickBot="1" x14ac:dyDescent="0.5">
      <c r="B19" s="18"/>
      <c r="C19" s="89" t="s">
        <v>180</v>
      </c>
      <c r="D19" s="89"/>
      <c r="E19" s="89" t="s">
        <v>181</v>
      </c>
      <c r="F19" s="89" t="s">
        <v>182</v>
      </c>
      <c r="G19" s="89" t="s">
        <v>56</v>
      </c>
      <c r="H19" s="89" t="s">
        <v>62</v>
      </c>
      <c r="I19" s="89" t="s">
        <v>187</v>
      </c>
      <c r="J19" s="89"/>
      <c r="K19" s="89"/>
      <c r="L19" s="23"/>
    </row>
    <row r="20" spans="2:12" ht="18.75" customHeight="1" thickTop="1" x14ac:dyDescent="0.45">
      <c r="B20" s="18"/>
      <c r="C20" s="85" t="s">
        <v>178</v>
      </c>
      <c r="D20" s="85" t="s">
        <v>165</v>
      </c>
      <c r="E20" s="85"/>
      <c r="F20" s="85"/>
      <c r="G20" s="85"/>
      <c r="H20" s="85"/>
      <c r="I20" s="85"/>
      <c r="J20" s="85"/>
      <c r="K20" s="85"/>
      <c r="L20" s="23"/>
    </row>
    <row r="21" spans="2:12" ht="18.75" customHeight="1" x14ac:dyDescent="0.45">
      <c r="B21" s="18"/>
      <c r="C21" s="119" t="s">
        <v>157</v>
      </c>
      <c r="D21" s="119" t="s">
        <v>198</v>
      </c>
      <c r="E21" s="119" t="s">
        <v>199</v>
      </c>
      <c r="F21" s="119" t="s">
        <v>200</v>
      </c>
      <c r="G21" s="119" t="s">
        <v>56</v>
      </c>
      <c r="H21" s="119" t="s">
        <v>62</v>
      </c>
      <c r="I21" s="119" t="s">
        <v>187</v>
      </c>
      <c r="J21" s="119"/>
      <c r="K21" s="119"/>
      <c r="L21" s="23"/>
    </row>
    <row r="22" spans="2:12" ht="18" customHeight="1" thickBot="1" x14ac:dyDescent="0.5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5" spans="2:12" ht="17.649999999999999" thickBot="1" x14ac:dyDescent="0.5">
      <c r="C25" s="105" t="s">
        <v>166</v>
      </c>
      <c r="D25" s="105"/>
      <c r="E25" s="105"/>
    </row>
    <row r="26" spans="2:12" ht="14.45" customHeight="1" x14ac:dyDescent="0.45">
      <c r="C26" s="16" t="s">
        <v>167</v>
      </c>
      <c r="D26" s="112" t="s">
        <v>141</v>
      </c>
      <c r="E26" s="113"/>
    </row>
    <row r="27" spans="2:12" x14ac:dyDescent="0.45">
      <c r="C27" s="63" t="s">
        <v>148</v>
      </c>
      <c r="D27" s="116" t="s">
        <v>164</v>
      </c>
      <c r="E27" s="116"/>
    </row>
    <row r="28" spans="2:12" x14ac:dyDescent="0.45">
      <c r="C28" s="60" t="s">
        <v>154</v>
      </c>
      <c r="D28" s="114" t="s">
        <v>162</v>
      </c>
      <c r="E28" s="114"/>
    </row>
    <row r="29" spans="2:12" x14ac:dyDescent="0.45">
      <c r="C29" s="59" t="s">
        <v>152</v>
      </c>
      <c r="D29" s="115" t="s">
        <v>160</v>
      </c>
      <c r="E29" s="115"/>
    </row>
    <row r="30" spans="2:12" x14ac:dyDescent="0.45">
      <c r="C30" s="60" t="s">
        <v>151</v>
      </c>
      <c r="D30" s="114" t="s">
        <v>159</v>
      </c>
      <c r="E30" s="114"/>
    </row>
    <row r="31" spans="2:12" x14ac:dyDescent="0.45">
      <c r="C31" s="59" t="s">
        <v>150</v>
      </c>
      <c r="D31" s="115" t="s">
        <v>158</v>
      </c>
      <c r="E31" s="115"/>
    </row>
    <row r="32" spans="2:12" x14ac:dyDescent="0.45">
      <c r="C32" s="60" t="s">
        <v>157</v>
      </c>
      <c r="D32" s="114" t="s">
        <v>165</v>
      </c>
      <c r="E32" s="114"/>
    </row>
    <row r="33" spans="3:5" x14ac:dyDescent="0.45">
      <c r="C33" s="59" t="s">
        <v>153</v>
      </c>
      <c r="D33" s="115" t="s">
        <v>161</v>
      </c>
      <c r="E33" s="115"/>
    </row>
    <row r="34" spans="3:5" x14ac:dyDescent="0.45">
      <c r="C34" s="60" t="s">
        <v>149</v>
      </c>
      <c r="D34" s="114" t="s">
        <v>156</v>
      </c>
      <c r="E34" s="114"/>
    </row>
    <row r="35" spans="3:5" ht="14.65" thickBot="1" x14ac:dyDescent="0.5">
      <c r="C35" s="61" t="s">
        <v>155</v>
      </c>
      <c r="D35" s="111" t="s">
        <v>163</v>
      </c>
      <c r="E35" s="111"/>
    </row>
  </sheetData>
  <mergeCells count="11">
    <mergeCell ref="D35:E35"/>
    <mergeCell ref="C25:E25"/>
    <mergeCell ref="D26:E26"/>
    <mergeCell ref="D34:E34"/>
    <mergeCell ref="D33:E33"/>
    <mergeCell ref="D32:E32"/>
    <mergeCell ref="D31:E31"/>
    <mergeCell ref="D30:E30"/>
    <mergeCell ref="D29:E29"/>
    <mergeCell ref="D28:E28"/>
    <mergeCell ref="D27:E2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2"/>
  <sheetViews>
    <sheetView topLeftCell="A3" zoomScale="149" zoomScaleNormal="190" workbookViewId="0">
      <selection activeCell="D14" sqref="D14"/>
    </sheetView>
  </sheetViews>
  <sheetFormatPr defaultRowHeight="14.25" x14ac:dyDescent="0.45"/>
  <cols>
    <col min="1" max="1" width="2.73046875" customWidth="1"/>
    <col min="2" max="2" width="3.265625" customWidth="1"/>
    <col min="3" max="3" width="18.73046875" customWidth="1"/>
    <col min="4" max="4" width="20.3984375" customWidth="1"/>
    <col min="5" max="5" width="12.3984375" customWidth="1"/>
    <col min="6" max="6" width="14.265625" customWidth="1"/>
    <col min="7" max="7" width="10.59765625" customWidth="1"/>
    <col min="8" max="8" width="3.265625" customWidth="1"/>
  </cols>
  <sheetData>
    <row r="2" spans="2:8" ht="15.4" x14ac:dyDescent="0.45">
      <c r="C2" s="4" t="s">
        <v>45</v>
      </c>
      <c r="D2" s="5"/>
      <c r="E2" s="6"/>
    </row>
    <row r="3" spans="2:8" ht="14.65" thickBot="1" x14ac:dyDescent="0.5"/>
    <row r="4" spans="2:8" ht="18" customHeight="1" thickBot="1" x14ac:dyDescent="0.5">
      <c r="B4" s="17"/>
      <c r="C4" s="46"/>
      <c r="D4" s="47"/>
      <c r="E4" s="47"/>
      <c r="F4" s="26"/>
      <c r="G4" s="26"/>
      <c r="H4" s="22"/>
    </row>
    <row r="5" spans="2:8" ht="18.75" customHeight="1" thickBot="1" x14ac:dyDescent="0.5">
      <c r="B5" s="18"/>
      <c r="C5" s="39" t="s">
        <v>41</v>
      </c>
      <c r="D5" s="37"/>
      <c r="E5" s="37"/>
      <c r="F5" s="37"/>
      <c r="G5" s="38"/>
      <c r="H5" s="23"/>
    </row>
    <row r="6" spans="2:8" ht="18.75" customHeight="1" thickBot="1" x14ac:dyDescent="0.5">
      <c r="B6" s="18"/>
      <c r="C6" s="40" t="s">
        <v>22</v>
      </c>
      <c r="D6" s="11" t="s">
        <v>136</v>
      </c>
      <c r="E6" s="11" t="s">
        <v>42</v>
      </c>
      <c r="F6" s="11" t="s">
        <v>46</v>
      </c>
      <c r="G6" s="41" t="s">
        <v>47</v>
      </c>
      <c r="H6" s="23"/>
    </row>
    <row r="7" spans="2:8" ht="38.25" x14ac:dyDescent="0.45">
      <c r="B7" s="18"/>
      <c r="C7" s="93" t="s">
        <v>43</v>
      </c>
      <c r="D7" s="94" t="s">
        <v>32</v>
      </c>
      <c r="E7" s="94" t="s">
        <v>44</v>
      </c>
      <c r="F7" s="94" t="s">
        <v>48</v>
      </c>
      <c r="G7" s="95" t="s">
        <v>49</v>
      </c>
      <c r="H7" s="23"/>
    </row>
    <row r="8" spans="2:8" ht="18.75" customHeight="1" x14ac:dyDescent="0.45">
      <c r="B8" s="18"/>
      <c r="C8" s="82" t="s">
        <v>50</v>
      </c>
      <c r="D8" s="83"/>
      <c r="E8" s="83"/>
      <c r="F8" s="83" t="s">
        <v>62</v>
      </c>
      <c r="G8" s="84" t="s">
        <v>76</v>
      </c>
      <c r="H8" s="23"/>
    </row>
    <row r="9" spans="2:8" ht="18.75" customHeight="1" x14ac:dyDescent="0.45">
      <c r="B9" s="18"/>
      <c r="C9" s="44" t="str">
        <f>FI_Process!E9</f>
        <v>IMP_OIL</v>
      </c>
      <c r="D9" s="68" t="str">
        <f>FI_Process!F9</f>
        <v>Import of Fuel Oil</v>
      </c>
      <c r="E9" s="68" t="str">
        <f>FI_Comm!E8</f>
        <v>FUEL_OIL</v>
      </c>
      <c r="F9" s="68"/>
      <c r="G9" s="45">
        <v>30</v>
      </c>
      <c r="H9" s="23"/>
    </row>
    <row r="10" spans="2:8" ht="18.75" customHeight="1" x14ac:dyDescent="0.45">
      <c r="B10" s="18"/>
      <c r="C10" s="64" t="str">
        <f>FI_Process!E10</f>
        <v>MIN_NAT_GAS</v>
      </c>
      <c r="D10" s="77" t="str">
        <f>FI_Process!F10</f>
        <v>Supply Natural Gas</v>
      </c>
      <c r="E10" s="77" t="str">
        <f>FI_Comm!E9</f>
        <v>NAT_GAS</v>
      </c>
      <c r="F10" s="77"/>
      <c r="G10" s="65">
        <v>20</v>
      </c>
      <c r="H10" s="23"/>
    </row>
    <row r="11" spans="2:8" ht="18.75" customHeight="1" thickBot="1" x14ac:dyDescent="0.5">
      <c r="B11" s="18"/>
      <c r="C11" s="79" t="str">
        <f>FI_Process!E11</f>
        <v>MIN_WIND_ON</v>
      </c>
      <c r="D11" s="80" t="str">
        <f>FI_Process!F11</f>
        <v>Supply Wind Onshore</v>
      </c>
      <c r="E11" s="80" t="str">
        <f>FI_Comm!E10</f>
        <v>WIND_ON</v>
      </c>
      <c r="F11" s="80"/>
      <c r="G11" s="96">
        <v>1E-3</v>
      </c>
      <c r="H11" s="23"/>
    </row>
    <row r="12" spans="2:8" ht="18" customHeight="1" thickTop="1" thickBot="1" x14ac:dyDescent="0.5">
      <c r="B12" s="19"/>
      <c r="C12" s="20"/>
      <c r="D12" s="20"/>
      <c r="E12" s="20"/>
      <c r="F12" s="20"/>
      <c r="G12" s="20"/>
      <c r="H12" s="21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4"/>
  <sheetViews>
    <sheetView zoomScale="101" zoomScaleNormal="145" workbookViewId="0">
      <selection activeCell="G18" sqref="G18"/>
    </sheetView>
  </sheetViews>
  <sheetFormatPr defaultRowHeight="14.25" x14ac:dyDescent="0.45"/>
  <cols>
    <col min="1" max="1" width="2.73046875" customWidth="1"/>
    <col min="2" max="2" width="3.265625" customWidth="1"/>
    <col min="3" max="3" width="17.73046875" customWidth="1"/>
    <col min="4" max="4" width="15.59765625" customWidth="1"/>
    <col min="5" max="5" width="10.1328125" bestFit="1" customWidth="1"/>
    <col min="6" max="6" width="11.1328125" bestFit="1" customWidth="1"/>
    <col min="7" max="7" width="8.265625" bestFit="1" customWidth="1"/>
    <col min="8" max="8" width="16.73046875" bestFit="1" customWidth="1"/>
    <col min="9" max="9" width="9.265625" customWidth="1"/>
    <col min="10" max="10" width="12.3984375" customWidth="1"/>
    <col min="11" max="11" width="7.73046875" bestFit="1" customWidth="1"/>
    <col min="12" max="12" width="8" bestFit="1" customWidth="1"/>
    <col min="13" max="13" width="3.265625" customWidth="1"/>
    <col min="15" max="16" width="17.265625" customWidth="1"/>
    <col min="17" max="17" width="11.1328125" customWidth="1"/>
  </cols>
  <sheetData>
    <row r="2" spans="2:16" ht="15.4" x14ac:dyDescent="0.45">
      <c r="C2" s="4" t="s">
        <v>116</v>
      </c>
      <c r="D2" s="5"/>
      <c r="E2" s="5"/>
      <c r="F2" s="6"/>
    </row>
    <row r="3" spans="2:16" ht="14.65" thickBot="1" x14ac:dyDescent="0.5">
      <c r="F3" s="6"/>
    </row>
    <row r="4" spans="2:16" ht="14.65" thickBot="1" x14ac:dyDescent="0.5">
      <c r="B4" s="17"/>
      <c r="C4" s="46"/>
      <c r="D4" s="47"/>
      <c r="E4" s="47"/>
      <c r="F4" s="48"/>
      <c r="G4" s="26"/>
      <c r="H4" s="26"/>
      <c r="I4" s="26"/>
      <c r="J4" s="26"/>
      <c r="K4" s="26"/>
      <c r="L4" s="26"/>
      <c r="M4" s="22"/>
    </row>
    <row r="5" spans="2:16" ht="18.75" customHeight="1" thickBot="1" x14ac:dyDescent="0.5">
      <c r="B5" s="18"/>
      <c r="C5" s="39" t="s">
        <v>41</v>
      </c>
      <c r="D5" s="37"/>
      <c r="E5" s="37"/>
      <c r="F5" s="37"/>
      <c r="G5" s="37"/>
      <c r="H5" s="37"/>
      <c r="I5" s="37"/>
      <c r="J5" s="37"/>
      <c r="K5" s="37"/>
      <c r="L5" s="38"/>
      <c r="M5" s="23"/>
    </row>
    <row r="6" spans="2:16" ht="26.65" thickBot="1" x14ac:dyDescent="0.5">
      <c r="B6" s="18"/>
      <c r="C6" s="40" t="s">
        <v>22</v>
      </c>
      <c r="D6" s="11" t="s">
        <v>136</v>
      </c>
      <c r="E6" s="11" t="s">
        <v>102</v>
      </c>
      <c r="F6" s="11" t="s">
        <v>42</v>
      </c>
      <c r="G6" s="11" t="s">
        <v>105</v>
      </c>
      <c r="H6" s="11" t="s">
        <v>106</v>
      </c>
      <c r="I6" s="11" t="s">
        <v>104</v>
      </c>
      <c r="J6" s="11" t="s">
        <v>107</v>
      </c>
      <c r="K6" s="11" t="s">
        <v>108</v>
      </c>
      <c r="L6" s="41" t="s">
        <v>109</v>
      </c>
      <c r="M6" s="23"/>
      <c r="O6" s="9" t="s">
        <v>128</v>
      </c>
    </row>
    <row r="7" spans="2:16" ht="38.25" x14ac:dyDescent="0.45">
      <c r="B7" s="18"/>
      <c r="C7" s="93" t="s">
        <v>43</v>
      </c>
      <c r="D7" s="94" t="s">
        <v>32</v>
      </c>
      <c r="E7" s="94" t="s">
        <v>103</v>
      </c>
      <c r="F7" s="94" t="s">
        <v>44</v>
      </c>
      <c r="G7" s="94" t="s">
        <v>110</v>
      </c>
      <c r="H7" s="94" t="s">
        <v>111</v>
      </c>
      <c r="I7" s="94" t="s">
        <v>112</v>
      </c>
      <c r="J7" s="94" t="s">
        <v>113</v>
      </c>
      <c r="K7" s="94" t="s">
        <v>114</v>
      </c>
      <c r="L7" s="95" t="s">
        <v>115</v>
      </c>
      <c r="M7" s="23"/>
      <c r="O7" s="10" t="s">
        <v>129</v>
      </c>
      <c r="P7" s="10" t="s">
        <v>132</v>
      </c>
    </row>
    <row r="8" spans="2:16" ht="18.75" customHeight="1" x14ac:dyDescent="0.45">
      <c r="B8" s="18"/>
      <c r="C8" s="86" t="s">
        <v>50</v>
      </c>
      <c r="D8" s="87"/>
      <c r="E8" s="87"/>
      <c r="F8" s="87"/>
      <c r="G8" s="87" t="s">
        <v>69</v>
      </c>
      <c r="H8" s="87" t="s">
        <v>131</v>
      </c>
      <c r="I8" s="87" t="s">
        <v>122</v>
      </c>
      <c r="J8" s="87" t="s">
        <v>122</v>
      </c>
      <c r="K8" s="87" t="s">
        <v>76</v>
      </c>
      <c r="L8" s="88" t="s">
        <v>75</v>
      </c>
      <c r="M8" s="23"/>
      <c r="O8" s="52" t="s">
        <v>130</v>
      </c>
      <c r="P8" s="52" t="s">
        <v>130</v>
      </c>
    </row>
    <row r="9" spans="2:16" ht="18.75" customHeight="1" x14ac:dyDescent="0.45">
      <c r="B9" s="18"/>
      <c r="C9" s="44" t="str">
        <f>FI_Process!E13</f>
        <v>EX_PP_OIL</v>
      </c>
      <c r="D9" s="68" t="str">
        <f>FI_Process!F13</f>
        <v>Power Plant - Fuel Oil</v>
      </c>
      <c r="E9" s="68" t="str">
        <f>FI_Comm!E8</f>
        <v>FUEL_OIL</v>
      </c>
      <c r="F9" s="68" t="str">
        <f>FI_Comm!E11</f>
        <v>ELC_HV</v>
      </c>
      <c r="G9" s="68">
        <v>4</v>
      </c>
      <c r="H9" s="68">
        <v>31.536000000000001</v>
      </c>
      <c r="I9" s="68">
        <v>0.4</v>
      </c>
      <c r="J9" s="68">
        <v>0.8</v>
      </c>
      <c r="K9" s="68">
        <v>1</v>
      </c>
      <c r="L9" s="45">
        <v>1</v>
      </c>
      <c r="M9" s="23"/>
      <c r="O9" s="51">
        <f>G9*H9*J9</f>
        <v>100.91520000000001</v>
      </c>
      <c r="P9" s="51">
        <f>O9/I9</f>
        <v>252.28800000000001</v>
      </c>
    </row>
    <row r="10" spans="2:16" ht="18.75" customHeight="1" x14ac:dyDescent="0.45">
      <c r="B10" s="18"/>
      <c r="C10" s="64" t="str">
        <f>FI_Process!E14</f>
        <v>EX_PP_NAT_GAS</v>
      </c>
      <c r="D10" s="77" t="str">
        <f>FI_Process!F14</f>
        <v>Power Plant - Natural Gas</v>
      </c>
      <c r="E10" s="77" t="str">
        <f>FI_Comm!E9</f>
        <v>NAT_GAS</v>
      </c>
      <c r="F10" s="77" t="str">
        <f>FI_Comm!E11</f>
        <v>ELC_HV</v>
      </c>
      <c r="G10" s="77">
        <v>2</v>
      </c>
      <c r="H10" s="77">
        <v>31.536000000000001</v>
      </c>
      <c r="I10" s="77">
        <v>0.6</v>
      </c>
      <c r="J10" s="77">
        <v>0.5</v>
      </c>
      <c r="K10" s="77">
        <v>1</v>
      </c>
      <c r="L10" s="65">
        <v>1</v>
      </c>
      <c r="M10" s="23"/>
      <c r="O10" s="57">
        <f>G10*H10*J10</f>
        <v>31.536000000000001</v>
      </c>
      <c r="P10" s="57">
        <f>O10/I10</f>
        <v>52.56</v>
      </c>
    </row>
    <row r="11" spans="2:16" ht="18.75" customHeight="1" thickBot="1" x14ac:dyDescent="0.5">
      <c r="B11" s="18"/>
      <c r="C11" s="79" t="str">
        <f>FI_Process!E15</f>
        <v>EX_PP_WIND</v>
      </c>
      <c r="D11" s="80" t="str">
        <f>FI_Process!F15</f>
        <v>Power Plant - Wind Tuebine</v>
      </c>
      <c r="E11" s="80" t="str">
        <f>FI_Comm!E10</f>
        <v>WIND_ON</v>
      </c>
      <c r="F11" s="80" t="str">
        <f>FI_Comm!E11</f>
        <v>ELC_HV</v>
      </c>
      <c r="G11" s="80">
        <v>1</v>
      </c>
      <c r="H11" s="80">
        <v>31.536000000000001</v>
      </c>
      <c r="I11" s="80">
        <v>1</v>
      </c>
      <c r="J11" s="80">
        <v>0.33</v>
      </c>
      <c r="K11" s="80"/>
      <c r="L11" s="96">
        <v>1</v>
      </c>
      <c r="M11" s="23"/>
      <c r="O11" s="51"/>
      <c r="P11" s="51"/>
    </row>
    <row r="12" spans="2:16" ht="18.75" customHeight="1" thickTop="1" x14ac:dyDescent="0.45">
      <c r="B12" s="18"/>
      <c r="C12" s="119" t="s">
        <v>199</v>
      </c>
      <c r="D12" s="119" t="s">
        <v>200</v>
      </c>
      <c r="E12" s="119" t="s">
        <v>201</v>
      </c>
      <c r="F12" s="119" t="s">
        <v>201</v>
      </c>
      <c r="G12" s="119">
        <v>3</v>
      </c>
      <c r="H12" s="119">
        <v>1</v>
      </c>
      <c r="I12" s="119">
        <v>0.8</v>
      </c>
      <c r="J12" s="119">
        <v>1</v>
      </c>
      <c r="K12" s="119">
        <v>3</v>
      </c>
      <c r="L12" s="119">
        <v>3</v>
      </c>
      <c r="M12" s="23"/>
      <c r="O12" s="51"/>
      <c r="P12" s="51"/>
    </row>
    <row r="13" spans="2:16" ht="14.65" thickBot="1" x14ac:dyDescent="0.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O13" s="58">
        <f>SUM(O9:O10)</f>
        <v>132.45120000000003</v>
      </c>
    </row>
    <row r="18" spans="3:3" x14ac:dyDescent="0.45">
      <c r="C18" s="9" t="s">
        <v>127</v>
      </c>
    </row>
    <row r="19" spans="3:3" x14ac:dyDescent="0.45">
      <c r="C19" t="s">
        <v>124</v>
      </c>
    </row>
    <row r="20" spans="3:3" ht="42" customHeight="1" x14ac:dyDescent="0.45"/>
    <row r="21" spans="3:3" x14ac:dyDescent="0.45">
      <c r="C21" t="s">
        <v>125</v>
      </c>
    </row>
    <row r="22" spans="3:3" x14ac:dyDescent="0.45">
      <c r="C22" t="s">
        <v>123</v>
      </c>
    </row>
    <row r="23" spans="3:3" x14ac:dyDescent="0.45">
      <c r="C23" t="s">
        <v>126</v>
      </c>
    </row>
    <row r="24" spans="3:3" ht="42" customHeight="1" x14ac:dyDescent="0.45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C56-8571-476E-80B4-2A2AA175E0B0}">
  <dimension ref="B2:K7"/>
  <sheetViews>
    <sheetView workbookViewId="0">
      <selection activeCell="G15" sqref="G15"/>
    </sheetView>
  </sheetViews>
  <sheetFormatPr defaultRowHeight="14.25" x14ac:dyDescent="0.45"/>
  <cols>
    <col min="2" max="2" width="17.73046875" customWidth="1"/>
    <col min="3" max="3" width="15" customWidth="1"/>
    <col min="4" max="4" width="18.1328125" customWidth="1"/>
    <col min="7" max="7" width="13.1328125" customWidth="1"/>
  </cols>
  <sheetData>
    <row r="2" spans="2:11" ht="18.75" customHeight="1" thickBot="1" x14ac:dyDescent="0.5">
      <c r="B2" s="90" t="s">
        <v>41</v>
      </c>
      <c r="C2" s="90"/>
      <c r="D2" s="90"/>
      <c r="E2" s="90"/>
      <c r="F2" s="90"/>
      <c r="G2" s="90"/>
      <c r="H2" s="90"/>
      <c r="I2" s="90"/>
      <c r="J2" s="90"/>
      <c r="K2" s="90"/>
    </row>
    <row r="3" spans="2:11" ht="18.75" customHeight="1" thickBot="1" x14ac:dyDescent="0.5">
      <c r="B3" s="55" t="s">
        <v>22</v>
      </c>
      <c r="C3" s="55" t="s">
        <v>136</v>
      </c>
      <c r="D3" s="55" t="s">
        <v>102</v>
      </c>
      <c r="E3" s="55" t="s">
        <v>42</v>
      </c>
      <c r="F3" s="55" t="s">
        <v>105</v>
      </c>
      <c r="G3" s="55" t="s">
        <v>106</v>
      </c>
      <c r="H3" s="55" t="s">
        <v>104</v>
      </c>
      <c r="I3" s="55" t="s">
        <v>107</v>
      </c>
      <c r="J3" s="55" t="s">
        <v>108</v>
      </c>
      <c r="K3" s="55" t="s">
        <v>109</v>
      </c>
    </row>
    <row r="4" spans="2:11" x14ac:dyDescent="0.45">
      <c r="B4" s="91" t="s">
        <v>43</v>
      </c>
      <c r="C4" s="91" t="s">
        <v>32</v>
      </c>
      <c r="D4" s="91" t="s">
        <v>103</v>
      </c>
      <c r="E4" s="91" t="s">
        <v>44</v>
      </c>
      <c r="F4" s="91" t="s">
        <v>110</v>
      </c>
      <c r="G4" s="91" t="s">
        <v>111</v>
      </c>
      <c r="H4" s="91" t="s">
        <v>112</v>
      </c>
      <c r="I4" s="91" t="s">
        <v>113</v>
      </c>
      <c r="J4" s="91" t="s">
        <v>114</v>
      </c>
      <c r="K4" s="91" t="s">
        <v>115</v>
      </c>
    </row>
    <row r="5" spans="2:11" ht="18.75" customHeight="1" x14ac:dyDescent="0.45">
      <c r="B5" s="85" t="s">
        <v>50</v>
      </c>
      <c r="C5" s="85"/>
      <c r="D5" s="85"/>
      <c r="E5" s="85"/>
      <c r="F5" s="85" t="s">
        <v>69</v>
      </c>
      <c r="G5" s="85" t="s">
        <v>131</v>
      </c>
      <c r="H5" s="85" t="s">
        <v>122</v>
      </c>
      <c r="I5" s="85" t="s">
        <v>122</v>
      </c>
      <c r="J5" s="85" t="s">
        <v>76</v>
      </c>
      <c r="K5" s="85" t="s">
        <v>75</v>
      </c>
    </row>
    <row r="6" spans="2:11" ht="18.75" customHeight="1" thickBot="1" x14ac:dyDescent="0.5">
      <c r="B6" s="89" t="str">
        <f>FI_Process!E17</f>
        <v>EX_ELC_GRID</v>
      </c>
      <c r="C6" s="89" t="str">
        <f>FI_Process!F17</f>
        <v>Existing Grid</v>
      </c>
      <c r="D6" s="89" t="str">
        <f>FI_Comm!E11</f>
        <v>ELC_HV</v>
      </c>
      <c r="E6" s="89" t="str">
        <f>FI_Comm!E12</f>
        <v>ELC_LV</v>
      </c>
      <c r="F6" s="89"/>
      <c r="G6" s="89">
        <v>1</v>
      </c>
      <c r="H6" s="89">
        <v>0.88</v>
      </c>
      <c r="I6" s="89"/>
      <c r="J6" s="89"/>
      <c r="K6" s="89"/>
    </row>
    <row r="7" spans="2:11" ht="14.65" thickTop="1" x14ac:dyDescent="0.45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L25"/>
  <sheetViews>
    <sheetView zoomScaleNormal="160" workbookViewId="0">
      <selection activeCell="G20" sqref="G20"/>
    </sheetView>
  </sheetViews>
  <sheetFormatPr defaultRowHeight="14.25" x14ac:dyDescent="0.45"/>
  <cols>
    <col min="1" max="1" width="2.73046875" customWidth="1"/>
    <col min="2" max="2" width="3.265625" customWidth="1"/>
    <col min="3" max="3" width="16.86328125" customWidth="1"/>
    <col min="4" max="4" width="22.73046875" bestFit="1" customWidth="1"/>
    <col min="5" max="5" width="10.3984375" customWidth="1"/>
    <col min="6" max="6" width="18.73046875" customWidth="1"/>
    <col min="7" max="7" width="13.86328125" customWidth="1"/>
    <col min="8" max="8" width="10.86328125" bestFit="1" customWidth="1"/>
    <col min="9" max="9" width="9" bestFit="1" customWidth="1"/>
    <col min="10" max="10" width="8.73046875" bestFit="1" customWidth="1"/>
    <col min="11" max="11" width="7.86328125" bestFit="1" customWidth="1"/>
    <col min="12" max="12" width="8.265625" bestFit="1" customWidth="1"/>
  </cols>
  <sheetData>
    <row r="1" spans="2:8" ht="15" customHeight="1" x14ac:dyDescent="0.45"/>
    <row r="2" spans="2:8" ht="15.4" x14ac:dyDescent="0.45">
      <c r="C2" s="4" t="s">
        <v>117</v>
      </c>
      <c r="D2" s="5"/>
      <c r="E2" s="6"/>
    </row>
    <row r="3" spans="2:8" ht="14.65" thickBot="1" x14ac:dyDescent="0.5"/>
    <row r="4" spans="2:8" ht="18" customHeight="1" thickBot="1" x14ac:dyDescent="0.5">
      <c r="B4" s="17"/>
      <c r="C4" s="46"/>
      <c r="D4" s="47"/>
      <c r="E4" s="48"/>
      <c r="F4" s="22"/>
    </row>
    <row r="5" spans="2:8" ht="18.75" customHeight="1" thickBot="1" x14ac:dyDescent="0.5">
      <c r="B5" s="18"/>
      <c r="C5" s="56" t="s">
        <v>41</v>
      </c>
      <c r="D5" s="37"/>
      <c r="E5" s="38"/>
      <c r="F5" s="70"/>
    </row>
    <row r="6" spans="2:8" ht="18.75" customHeight="1" thickBot="1" x14ac:dyDescent="0.5">
      <c r="B6" s="18"/>
      <c r="C6" s="54" t="s">
        <v>2</v>
      </c>
      <c r="D6" s="55" t="s">
        <v>118</v>
      </c>
      <c r="E6" s="55" t="s">
        <v>189</v>
      </c>
      <c r="F6" s="53">
        <v>2025</v>
      </c>
    </row>
    <row r="7" spans="2:8" ht="18.75" customHeight="1" x14ac:dyDescent="0.45">
      <c r="B7" s="18"/>
      <c r="C7" s="71" t="s">
        <v>119</v>
      </c>
      <c r="D7" s="72" t="s">
        <v>118</v>
      </c>
      <c r="E7" s="72"/>
      <c r="F7" s="73" t="s">
        <v>120</v>
      </c>
    </row>
    <row r="8" spans="2:8" ht="18.75" customHeight="1" x14ac:dyDescent="0.45">
      <c r="B8" s="18"/>
      <c r="C8" s="74" t="s">
        <v>50</v>
      </c>
      <c r="D8" s="75"/>
      <c r="E8" s="75"/>
      <c r="F8" s="76" t="s">
        <v>130</v>
      </c>
    </row>
    <row r="9" spans="2:8" ht="18.75" customHeight="1" x14ac:dyDescent="0.45">
      <c r="B9" s="18"/>
      <c r="C9" s="44" t="str">
        <f>FI_Comm!E$13</f>
        <v>ELC_FIN</v>
      </c>
      <c r="D9" s="68" t="s">
        <v>121</v>
      </c>
      <c r="E9" s="68"/>
      <c r="F9" s="45">
        <f>100/GRID!H6</f>
        <v>113.63636363636364</v>
      </c>
    </row>
    <row r="10" spans="2:8" ht="18.75" customHeight="1" x14ac:dyDescent="0.45">
      <c r="B10" s="18"/>
      <c r="C10" s="64" t="str">
        <f>FI_Comm!E$13</f>
        <v>ELC_FIN</v>
      </c>
      <c r="D10" s="77" t="s">
        <v>188</v>
      </c>
      <c r="E10" s="77" t="s">
        <v>190</v>
      </c>
      <c r="F10" s="78">
        <v>0</v>
      </c>
      <c r="H10">
        <f>$F$9*F10</f>
        <v>0</v>
      </c>
    </row>
    <row r="11" spans="2:8" ht="18.75" customHeight="1" x14ac:dyDescent="0.45">
      <c r="B11" s="18"/>
      <c r="C11" s="44" t="str">
        <f>FI_Comm!E$13</f>
        <v>ELC_FIN</v>
      </c>
      <c r="D11" s="68" t="s">
        <v>188</v>
      </c>
      <c r="E11" s="68" t="s">
        <v>191</v>
      </c>
      <c r="F11" s="69">
        <v>0.05</v>
      </c>
      <c r="H11">
        <f t="shared" ref="H11:H17" si="0">$F$9*F11</f>
        <v>5.6818181818181825</v>
      </c>
    </row>
    <row r="12" spans="2:8" ht="18.75" customHeight="1" x14ac:dyDescent="0.45">
      <c r="B12" s="18"/>
      <c r="C12" s="64" t="str">
        <f>FI_Comm!E$13</f>
        <v>ELC_FIN</v>
      </c>
      <c r="D12" s="77" t="s">
        <v>188</v>
      </c>
      <c r="E12" s="77" t="s">
        <v>192</v>
      </c>
      <c r="F12" s="78">
        <v>0.1</v>
      </c>
      <c r="H12">
        <f t="shared" si="0"/>
        <v>11.363636363636365</v>
      </c>
    </row>
    <row r="13" spans="2:8" ht="18.75" customHeight="1" x14ac:dyDescent="0.45">
      <c r="B13" s="18"/>
      <c r="C13" s="44" t="str">
        <f>FI_Comm!E$13</f>
        <v>ELC_FIN</v>
      </c>
      <c r="D13" s="68" t="s">
        <v>188</v>
      </c>
      <c r="E13" s="68" t="s">
        <v>193</v>
      </c>
      <c r="F13" s="69">
        <v>0.15</v>
      </c>
      <c r="H13">
        <f t="shared" si="0"/>
        <v>17.045454545454547</v>
      </c>
    </row>
    <row r="14" spans="2:8" ht="18.75" customHeight="1" x14ac:dyDescent="0.45">
      <c r="B14" s="18"/>
      <c r="C14" s="64" t="str">
        <f>FI_Comm!E$13</f>
        <v>ELC_FIN</v>
      </c>
      <c r="D14" s="77" t="s">
        <v>188</v>
      </c>
      <c r="E14" s="77" t="s">
        <v>194</v>
      </c>
      <c r="F14" s="78">
        <v>0.2</v>
      </c>
      <c r="H14">
        <f t="shared" si="0"/>
        <v>22.72727272727273</v>
      </c>
    </row>
    <row r="15" spans="2:8" ht="18.75" customHeight="1" x14ac:dyDescent="0.45">
      <c r="B15" s="18"/>
      <c r="C15" s="44" t="str">
        <f>FI_Comm!E$13</f>
        <v>ELC_FIN</v>
      </c>
      <c r="D15" s="68" t="s">
        <v>188</v>
      </c>
      <c r="E15" s="68" t="s">
        <v>195</v>
      </c>
      <c r="F15" s="69">
        <v>0.15</v>
      </c>
      <c r="H15">
        <f t="shared" si="0"/>
        <v>17.045454545454547</v>
      </c>
    </row>
    <row r="16" spans="2:8" ht="18.75" customHeight="1" x14ac:dyDescent="0.45">
      <c r="B16" s="18"/>
      <c r="C16" s="64" t="str">
        <f>FI_Comm!E$13</f>
        <v>ELC_FIN</v>
      </c>
      <c r="D16" s="77" t="s">
        <v>188</v>
      </c>
      <c r="E16" s="77" t="s">
        <v>196</v>
      </c>
      <c r="F16" s="78">
        <v>0.2</v>
      </c>
      <c r="H16">
        <f t="shared" si="0"/>
        <v>22.72727272727273</v>
      </c>
    </row>
    <row r="17" spans="2:12" ht="18.75" customHeight="1" thickBot="1" x14ac:dyDescent="0.5">
      <c r="B17" s="18"/>
      <c r="C17" s="79" t="str">
        <f>FI_Comm!E$13</f>
        <v>ELC_FIN</v>
      </c>
      <c r="D17" s="80" t="s">
        <v>188</v>
      </c>
      <c r="E17" s="80" t="s">
        <v>197</v>
      </c>
      <c r="F17" s="81">
        <v>0.15</v>
      </c>
      <c r="H17">
        <f t="shared" si="0"/>
        <v>17.045454545454547</v>
      </c>
      <c r="I17" s="67">
        <f>SUM(F10:F17)</f>
        <v>1</v>
      </c>
    </row>
    <row r="18" spans="2:12" ht="18" customHeight="1" thickTop="1" thickBot="1" x14ac:dyDescent="0.5">
      <c r="B18" s="19"/>
      <c r="C18" s="20"/>
      <c r="D18" s="20"/>
      <c r="E18" s="20"/>
      <c r="F18" s="21"/>
    </row>
    <row r="20" spans="2:12" ht="14.65" thickBot="1" x14ac:dyDescent="0.5"/>
    <row r="21" spans="2:12" ht="15.75" thickBot="1" x14ac:dyDescent="0.5">
      <c r="C21" s="36"/>
      <c r="D21" s="37"/>
      <c r="E21" s="37"/>
      <c r="F21" s="39" t="s">
        <v>41</v>
      </c>
      <c r="G21" s="37"/>
      <c r="H21" s="37"/>
      <c r="I21" s="37"/>
      <c r="J21" s="37"/>
      <c r="K21" s="37"/>
      <c r="L21" s="38"/>
    </row>
    <row r="22" spans="2:12" ht="14.65" thickBot="1" x14ac:dyDescent="0.5">
      <c r="C22" s="40" t="s">
        <v>22</v>
      </c>
      <c r="D22" s="11" t="s">
        <v>136</v>
      </c>
      <c r="E22" s="11" t="s">
        <v>102</v>
      </c>
      <c r="F22" s="11" t="s">
        <v>42</v>
      </c>
      <c r="G22" s="11" t="s">
        <v>105</v>
      </c>
      <c r="H22" s="11" t="s">
        <v>106</v>
      </c>
      <c r="I22" s="11" t="s">
        <v>104</v>
      </c>
      <c r="J22" s="11" t="s">
        <v>107</v>
      </c>
      <c r="K22" s="11" t="s">
        <v>108</v>
      </c>
      <c r="L22" s="41" t="s">
        <v>109</v>
      </c>
    </row>
    <row r="23" spans="2:12" ht="38.25" x14ac:dyDescent="0.45">
      <c r="C23" s="42" t="s">
        <v>43</v>
      </c>
      <c r="D23" s="12" t="s">
        <v>32</v>
      </c>
      <c r="E23" s="12" t="s">
        <v>103</v>
      </c>
      <c r="F23" s="12" t="s">
        <v>44</v>
      </c>
      <c r="G23" s="12" t="s">
        <v>110</v>
      </c>
      <c r="H23" s="12" t="s">
        <v>111</v>
      </c>
      <c r="I23" s="12" t="s">
        <v>112</v>
      </c>
      <c r="J23" s="12" t="s">
        <v>113</v>
      </c>
      <c r="K23" s="12" t="s">
        <v>114</v>
      </c>
      <c r="L23" s="43" t="s">
        <v>115</v>
      </c>
    </row>
    <row r="24" spans="2:12" x14ac:dyDescent="0.45">
      <c r="C24" s="49" t="s">
        <v>50</v>
      </c>
      <c r="D24" s="13"/>
      <c r="E24" s="13"/>
      <c r="F24" s="13"/>
      <c r="G24" s="13" t="s">
        <v>69</v>
      </c>
      <c r="H24" s="13" t="s">
        <v>131</v>
      </c>
      <c r="I24" s="13" t="s">
        <v>122</v>
      </c>
      <c r="J24" s="13" t="s">
        <v>122</v>
      </c>
      <c r="K24" s="13" t="s">
        <v>76</v>
      </c>
      <c r="L24" s="50" t="s">
        <v>75</v>
      </c>
    </row>
    <row r="25" spans="2:12" ht="14.65" thickBot="1" x14ac:dyDescent="0.5">
      <c r="C25" s="66" t="str">
        <f>FI_Process!E19</f>
        <v>DMD_FIN_ELC</v>
      </c>
      <c r="D25" s="66" t="str">
        <f>FI_Process!F19</f>
        <v>Final electricity demand</v>
      </c>
      <c r="E25" s="66" t="str">
        <f>FI_Comm!E12</f>
        <v>ELC_LV</v>
      </c>
      <c r="F25" s="66" t="str">
        <f>FI_Comm!E13</f>
        <v>ELC_FIN</v>
      </c>
      <c r="G25" s="66"/>
      <c r="H25" s="66">
        <v>1</v>
      </c>
      <c r="I25" s="66">
        <v>1</v>
      </c>
      <c r="J25" s="66"/>
      <c r="K25" s="66"/>
      <c r="L25" s="6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GRID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Carlos Eduardo Orduna Llamas</cp:lastModifiedBy>
  <dcterms:created xsi:type="dcterms:W3CDTF">2015-06-05T18:17:20Z</dcterms:created>
  <dcterms:modified xsi:type="dcterms:W3CDTF">2025-11-25T08:29:44Z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