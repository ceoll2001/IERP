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ceoll\Documents\Masters\MASTERS SELECT\AGH\IERP\ELAND_01\ELAND_01\"/>
    </mc:Choice>
  </mc:AlternateContent>
  <xr:revisionPtr revIDLastSave="0" documentId="13_ncr:1_{9AECA998-13EB-491C-99C9-79B695528BFD}" xr6:coauthVersionLast="47" xr6:coauthVersionMax="47" xr10:uidLastSave="{00000000-0000-0000-0000-000000000000}"/>
  <bookViews>
    <workbookView xWindow="-98" yWindow="-98" windowWidth="21795" windowHeight="11625" firstSheet="1" activeTab="8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9" l="1"/>
  <c r="I12" i="9"/>
  <c r="I13" i="9"/>
  <c r="I14" i="9"/>
  <c r="I15" i="9"/>
  <c r="I16" i="9"/>
  <c r="I17" i="9"/>
  <c r="I10" i="9"/>
  <c r="F9" i="9"/>
  <c r="E6" i="13"/>
  <c r="D6" i="13"/>
  <c r="C6" i="13"/>
  <c r="B6" i="13"/>
  <c r="C9" i="9"/>
  <c r="C10" i="9" s="1"/>
  <c r="C11" i="9" s="1"/>
  <c r="C12" i="9" s="1"/>
  <c r="C13" i="9" s="1"/>
  <c r="C14" i="9" s="1"/>
  <c r="C15" i="9" s="1"/>
  <c r="C16" i="9" s="1"/>
  <c r="C17" i="9" s="1"/>
  <c r="G25" i="9"/>
  <c r="F25" i="9"/>
  <c r="D25" i="9"/>
  <c r="C25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2" i="8" s="1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22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<sst xmlns="http://schemas.openxmlformats.org/spreadsheetml/2006/main" count="344" uniqueCount="198">
  <si>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</si>
  <si>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</si>
  <si>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</si>
  <si>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</si>
  <si>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</si>
  <si>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</si>
  <si>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</si>
  <si>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</si>
  <si>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</si>
  <si>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</si>
  <si>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</si>
  <si>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</si>
  <si>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</si>
  <si>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</si>
  <si>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</si>
  <si>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</si>
  <si>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</si>
  <si>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</si>
  <si>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</si>
  <si>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</si>
  <si>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</si>
  <si>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</si>
  <si>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</si>
  <si>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</si>
  <si>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</si>
  <si>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</si>
  <si>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</si>
  <si>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</si>
  <si>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</si>
  <si>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</si>
  <si>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</si>
  <si>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</si>
  <si>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</si>
  <si>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</si>
  <si>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</si>
  <si>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</si>
  <si>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</si>
  <si>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</si>
  <si>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</si>
  <si>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</si>
  <si>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</si>
  <si>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</si>
  <si>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</si>
  <si>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</si>
  <si>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</si>
  <si>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</si>
  <si>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</si>
  <si>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</si>
  <si>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</si>
  <si>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</si>
  <si>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</si>
  <si>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</si>
  <si>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</si>
  <si>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</si>
  <si>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</si>
  <si>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</si>
  <si>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</si>
  <si>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</si>
  <si>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</si>
  <si>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</si>
  <si>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</si>
  <si>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</si>
  <si>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</si>
  <si>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</si>
  <si>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</si>
  <si>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</si>
  <si>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</si>
  <si>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</si>
  <si>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</si>
  <si>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</si>
  <si>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</si>
  <si>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</si>
  <si>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</si>
  <si>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</si>
  <si>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</si>
  <si>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</si>
  <si>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</si>
  <si>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</si>
  <si>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</si>
  <si>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</si>
  <si>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</si>
  <si>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</si>
  <si>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</si>
  <si>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</si>
  <si>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</si>
  <si>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</si>
  <si>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</si>
  <si>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</si>
  <si>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</si>
  <si>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</si>
  <si>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</si>
  <si>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</si>
  <si>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</si>
  <si>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</si>
  <si>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</si>
  <si>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</si>
  <si>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</si>
  <si>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</si>
  <si>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</si>
  <si>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</si>
  <si>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</si>
  <si>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</si>
  <si>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</si>
  <si>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</si>
  <si>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</si>
  <si>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</si>
  <si>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</si>
  <si>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</si>
  <si>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</si>
  <si>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</si>
  <si>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</si>
  <si>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</si>
  <si>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</si>
  <si>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</si>
  <si>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</si>
  <si>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</si>
  <si>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</si>
  <si>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</si>
  <si>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</si>
  <si>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</si>
  <si>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</si>
  <si>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</si>
  <si>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</si>
  <si>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</si>
  <si>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</si>
  <si>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</si>
  <si>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</si>
  <si>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</si>
  <si>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</si>
  <si>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</si>
  <si>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</si>
  <si>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</si>
  <si>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</si>
  <si>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</si>
  <si>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</si>
  <si>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</si>
  <si>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</si>
  <si>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</si>
  <si>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</si>
  <si>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</si>
  <si>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</si>
  <si>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</si>
  <si>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</si>
  <si>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</si>
  <si>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</si>
  <si>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</si>
  <si>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</si>
  <si>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</si>
  <si>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</si>
  <si>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</si>
  <si>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</si>
  <si>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</si>
  <si>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</si>
  <si>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</si>
  <si>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</si>
  <si>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</si>
  <si>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</si>
  <si>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</si>
  <si>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</si>
  <si>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</si>
  <si>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</si>
  <si>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</si>
  <si>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</si>
  <si>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</si>
  <si>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</si>
  <si>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</si>
  <si>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</si>
  <si>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</si>
  <si>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</si>
  <si>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</si>
  <si>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</si>
  <si>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</si>
  <si>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</si>
  <si>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</si>
  <si>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</si>
  <si>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</si>
  <si>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</si>
  <si>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</si>
  <si>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</si>
  <si>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</si>
  <si>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</si>
  <si>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</si>
  <si>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</si>
  <si>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</si>
  <si>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</si>
  <si>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</si>
  <si>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</si>
  <si>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</si>
  <si>
    <t>COM_FR</t>
  </si>
  <si>
    <t>S1W1D1</t>
  </si>
  <si>
    <t>S1W1D2</t>
  </si>
  <si>
    <t>S1W2D1</t>
  </si>
  <si>
    <t>S1W2D2</t>
  </si>
  <si>
    <t>S2W1D1</t>
  </si>
  <si>
    <t>S2W1D2</t>
  </si>
  <si>
    <t>S2W2D1</t>
  </si>
  <si>
    <t>S2W2D2</t>
  </si>
  <si>
    <t>TimeSlice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</si>
</sst>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4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sz val="10"/>
      <color rgb="FF010000"/>
      <name val="Arial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</borders>
  <cellStyleXfs count="11">
    <xf numFmtId="0" fontId="0" fillId="0" borderId="0"/>
    <xf numFmtId="0" fontId="3" fillId="0" borderId="0"/>
    <xf numFmtId="0" fontId="3" fillId="0" borderId="0"/>
    <xf numFmtId="0" fontId="16" fillId="0" borderId="0"/>
    <xf numFmtId="9" fontId="21" fillId="0" borderId="0" applyFont="0" applyFill="0" applyBorder="0" applyAlignment="0" applyProtection="0"/>
    <xf numFmtId="0" fontId="16" fillId="0" borderId="0"/>
    <xf numFmtId="0" fontId="22" fillId="0" borderId="0"/>
    <xf numFmtId="0" fontId="16" fillId="0" borderId="0"/>
    <xf numFmtId="0" fontId="21" fillId="0" borderId="0"/>
    <xf numFmtId="0" fontId="16" fillId="0" borderId="0"/>
    <xf numFmtId="0" fontId="16" fillId="0" borderId="0"/>
  </cellStyleXfs>
  <cellXfs count="127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3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8" fillId="6" borderId="14" xfId="0" applyFont="1" applyFill="1" applyBorder="1"/>
    <xf numFmtId="0" fontId="18" fillId="6" borderId="0" xfId="0" applyFont="1" applyFill="1"/>
    <xf numFmtId="0" fontId="18" fillId="6" borderId="15" xfId="0" applyFont="1" applyFill="1" applyBorder="1"/>
    <xf numFmtId="0" fontId="18" fillId="9" borderId="16" xfId="0" applyFont="1" applyFill="1" applyBorder="1"/>
    <xf numFmtId="0" fontId="18" fillId="9" borderId="3" xfId="0" applyFont="1" applyFill="1" applyBorder="1"/>
    <xf numFmtId="0" fontId="18" fillId="9" borderId="17" xfId="0" applyFont="1" applyFill="1" applyBorder="1"/>
    <xf numFmtId="0" fontId="0" fillId="9" borderId="41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  <xf numFmtId="9" fontId="18" fillId="3" borderId="3" xfId="4" applyFont="1" applyFill="1" applyBorder="1"/>
    <xf numFmtId="0" fontId="0" fillId="0" borderId="0" xfId="0"/>
    <xf numFmtId="0" fontId="23" fillId="9" borderId="3" xfId="0" applyFont="1" applyFill="1" applyBorder="1"/>
    <xf numFmtId="0" fontId="0" fillId="0" borderId="0" xfId="0"/>
  </cellXfs>
  <cellStyles count="11">
    <cellStyle name="Normal" xfId="0" builtinId="0"/>
    <cellStyle name="Normal 10" xfId="1" xr:uid="{8AA69BA5-D233-441B-9028-16280C6B1AA6}"/>
    <cellStyle name="Normal 10 2" xfId="6" xr:uid="{EB5CFDAC-9919-49B0-BF68-434C0C3A39BD}"/>
    <cellStyle name="Normal 2" xfId="5" xr:uid="{9002F7F3-EE06-4FD8-8FC8-C2C47DC48643}"/>
    <cellStyle name="Normal 39 2 2" xfId="3" xr:uid="{3239FB62-2CA0-4815-BEFB-A7203B672581}"/>
    <cellStyle name="Normal 4" xfId="2" xr:uid="{137A5599-82BA-4049-805F-5468140AB07A}"/>
    <cellStyle name="Normalny 11" xfId="9" xr:uid="{6EF16912-2C67-45BB-8E12-6D6E8EA1D8EA}"/>
    <cellStyle name="Normalny 12" xfId="8" xr:uid="{BCA292E4-C986-4320-A0BE-83FB0190FEC4}"/>
    <cellStyle name="Normalny 2" xfId="7" xr:uid="{FED8717D-B5EF-4DE7-A230-7D7706A538D4}"/>
    <cellStyle name="Normalny 2 3" xfId="10" xr:uid="{5B717FA4-EDA2-4947-AB2A-1CC00DBB498A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4.25" x14ac:dyDescent="0.45"/>
  <cols>
    <col min="2" max="2" width="19.1328125" customWidth="1"/>
    <col min="3" max="3" width="15.3984375" customWidth="1"/>
    <col min="6" max="6" width="4.73046875" bestFit="1" customWidth="1"/>
    <col min="7" max="7" width="9.265625" bestFit="1" customWidth="1"/>
    <col min="8" max="8" width="1.73046875" bestFit="1" customWidth="1"/>
    <col min="9" max="9" width="5.265625" bestFit="1" customWidth="1"/>
    <col min="10" max="10" width="9" bestFit="1" customWidth="1"/>
    <col min="11" max="11" width="1.73046875" bestFit="1" customWidth="1"/>
    <col min="12" max="12" width="8.73046875" bestFit="1" customWidth="1"/>
    <col min="13" max="13" width="7.265625" bestFit="1" customWidth="1"/>
  </cols>
  <sheetData>
    <row r="2" spans="2:13" x14ac:dyDescent="0.45">
      <c r="B2" s="9" t="s">
        <v>92</v>
      </c>
      <c r="F2" s="110" t="s">
        <v>91</v>
      </c>
      <c r="G2" s="110"/>
      <c r="H2" s="110"/>
      <c r="I2" s="110"/>
      <c r="J2" s="110"/>
      <c r="K2" s="110"/>
      <c r="L2" s="110"/>
      <c r="M2" s="110"/>
    </row>
    <row r="3" spans="2:13" x14ac:dyDescent="0.45">
      <c r="F3" s="9"/>
    </row>
    <row r="4" spans="2:13" x14ac:dyDescent="0.45">
      <c r="B4" t="s">
        <v>70</v>
      </c>
      <c r="C4" t="s">
        <v>71</v>
      </c>
    </row>
    <row r="5" spans="2:13" x14ac:dyDescent="0.45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45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45">
      <c r="B8" t="s">
        <v>82</v>
      </c>
      <c r="C8" t="s">
        <v>83</v>
      </c>
    </row>
    <row r="9" spans="2:13" x14ac:dyDescent="0.45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45">
      <c r="B11" t="s">
        <v>85</v>
      </c>
      <c r="C11" t="s">
        <v>86</v>
      </c>
    </row>
    <row r="12" spans="2:13" x14ac:dyDescent="0.45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45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45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45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4.25" x14ac:dyDescent="0.45"/>
  <sheetData>
    <row r="2" spans="2:2" x14ac:dyDescent="0.45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27" sqref="O27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3"/>
  <sheetViews>
    <sheetView workbookViewId="0">
      <selection activeCell="M9" sqref="M9"/>
    </sheetView>
  </sheetViews>
  <sheetFormatPr defaultRowHeight="14.25" x14ac:dyDescent="0.45"/>
  <cols>
    <col min="1" max="1" width="2.73046875" customWidth="1"/>
    <col min="2" max="2" width="3.265625" customWidth="1"/>
    <col min="3" max="3" width="14.265625" customWidth="1"/>
    <col min="4" max="4" width="14" customWidth="1"/>
    <col min="5" max="5" width="13.265625" customWidth="1"/>
    <col min="6" max="6" width="20.265625" customWidth="1"/>
    <col min="7" max="7" width="5.86328125" customWidth="1"/>
    <col min="8" max="8" width="9.86328125" customWidth="1"/>
    <col min="9" max="9" width="10.265625" customWidth="1"/>
    <col min="10" max="10" width="9.3984375" customWidth="1"/>
    <col min="11" max="11" width="10.59765625" customWidth="1"/>
    <col min="12" max="12" width="3.265625" customWidth="1"/>
  </cols>
  <sheetData>
    <row r="2" spans="2:12" ht="17.25" x14ac:dyDescent="0.45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4.65" thickBot="1" x14ac:dyDescent="0.5"/>
    <row r="4" spans="2:12" ht="18" customHeight="1" thickBot="1" x14ac:dyDescent="0.5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5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4.65" thickBot="1" x14ac:dyDescent="0.5">
      <c r="B6" s="29"/>
      <c r="C6" s="57" t="s">
        <v>135</v>
      </c>
      <c r="D6" s="16" t="s">
        <v>21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38.65" thickBot="1" x14ac:dyDescent="0.5">
      <c r="B7" s="29"/>
      <c r="C7" s="59" t="s">
        <v>9</v>
      </c>
      <c r="D7" s="18" t="s">
        <v>30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58</v>
      </c>
      <c r="L7" s="34"/>
    </row>
    <row r="8" spans="2:12" ht="18.75" customHeight="1" x14ac:dyDescent="0.45">
      <c r="B8" s="29"/>
      <c r="C8" s="47" t="s">
        <v>15</v>
      </c>
      <c r="D8" s="20"/>
      <c r="E8" s="21" t="s">
        <v>101</v>
      </c>
      <c r="F8" s="21" t="s">
        <v>57</v>
      </c>
      <c r="G8" s="21" t="s">
        <v>56</v>
      </c>
      <c r="I8" s="21" t="s">
        <v>186</v>
      </c>
      <c r="J8" s="21"/>
      <c r="K8" s="48"/>
      <c r="L8" s="34"/>
    </row>
    <row r="9" spans="2:12" ht="18.75" customHeight="1" x14ac:dyDescent="0.45">
      <c r="B9" s="29"/>
      <c r="C9" s="49" t="s">
        <v>15</v>
      </c>
      <c r="D9" s="22"/>
      <c r="E9" s="23" t="s">
        <v>16</v>
      </c>
      <c r="F9" s="23" t="s">
        <v>53</v>
      </c>
      <c r="G9" s="23" t="s">
        <v>56</v>
      </c>
      <c r="I9" s="21" t="s">
        <v>186</v>
      </c>
      <c r="J9" s="23"/>
      <c r="K9" s="50"/>
      <c r="L9" s="34"/>
    </row>
    <row r="10" spans="2:12" ht="18.75" customHeight="1" x14ac:dyDescent="0.45">
      <c r="B10" s="29"/>
      <c r="C10" s="49" t="s">
        <v>15</v>
      </c>
      <c r="D10" s="22"/>
      <c r="E10" s="23" t="s">
        <v>176</v>
      </c>
      <c r="F10" s="23" t="s">
        <v>177</v>
      </c>
      <c r="G10" s="23" t="s">
        <v>56</v>
      </c>
      <c r="I10" s="21" t="s">
        <v>186</v>
      </c>
      <c r="J10" s="23"/>
      <c r="K10" s="50"/>
      <c r="L10" s="34"/>
    </row>
    <row r="11" spans="2:12" ht="18.75" customHeight="1" thickBot="1" x14ac:dyDescent="0.5">
      <c r="B11" s="29"/>
      <c r="C11" s="61" t="s">
        <v>15</v>
      </c>
      <c r="D11" s="62"/>
      <c r="E11" s="63" t="s">
        <v>17</v>
      </c>
      <c r="F11" s="63" t="s">
        <v>54</v>
      </c>
      <c r="G11" s="63" t="s">
        <v>56</v>
      </c>
      <c r="I11" s="63" t="s">
        <v>187</v>
      </c>
      <c r="J11" s="63"/>
      <c r="K11" s="64" t="s">
        <v>18</v>
      </c>
      <c r="L11" s="34"/>
    </row>
    <row r="12" spans="2:12" ht="18.75" customHeight="1" thickBot="1" x14ac:dyDescent="0.5">
      <c r="B12" s="29"/>
      <c r="C12" s="13" t="s">
        <v>15</v>
      </c>
      <c r="D12" s="13"/>
      <c r="E12" s="13" t="s">
        <v>168</v>
      </c>
      <c r="F12" s="13" t="s">
        <v>170</v>
      </c>
      <c r="G12" s="13" t="s">
        <v>56</v>
      </c>
      <c r="I12" s="63" t="s">
        <v>187</v>
      </c>
      <c r="J12" s="13"/>
      <c r="K12" s="13"/>
      <c r="L12" s="34"/>
    </row>
    <row r="13" spans="2:12" ht="18.75" customHeight="1" thickBot="1" x14ac:dyDescent="0.5">
      <c r="B13" s="29"/>
      <c r="C13" s="13" t="s">
        <v>138</v>
      </c>
      <c r="D13" s="13"/>
      <c r="E13" s="13" t="s">
        <v>169</v>
      </c>
      <c r="F13" s="13" t="s">
        <v>171</v>
      </c>
      <c r="G13" s="13" t="s">
        <v>56</v>
      </c>
      <c r="I13" s="63" t="s">
        <v>187</v>
      </c>
      <c r="J13" s="13"/>
      <c r="K13" s="13"/>
      <c r="L13" s="34"/>
    </row>
    <row r="14" spans="2:12" ht="18" customHeight="1" thickBot="1" x14ac:dyDescent="0.5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2"/>
    </row>
    <row r="17" spans="3:5" ht="17.649999999999999" thickBot="1" x14ac:dyDescent="0.5">
      <c r="C17" s="111" t="s">
        <v>134</v>
      </c>
      <c r="D17" s="111"/>
      <c r="E17" s="111"/>
    </row>
    <row r="18" spans="3:5" x14ac:dyDescent="0.45">
      <c r="C18" s="101" t="s">
        <v>140</v>
      </c>
      <c r="D18" s="112" t="s">
        <v>141</v>
      </c>
      <c r="E18" s="113"/>
    </row>
    <row r="19" spans="3:5" x14ac:dyDescent="0.45">
      <c r="C19" s="98" t="s">
        <v>15</v>
      </c>
      <c r="D19" s="116" t="s">
        <v>139</v>
      </c>
      <c r="E19" s="116"/>
    </row>
    <row r="20" spans="3:5" x14ac:dyDescent="0.45">
      <c r="C20" s="99" t="s">
        <v>137</v>
      </c>
      <c r="D20" s="115" t="s">
        <v>142</v>
      </c>
      <c r="E20" s="115"/>
    </row>
    <row r="21" spans="3:5" x14ac:dyDescent="0.45">
      <c r="C21" s="98" t="s">
        <v>138</v>
      </c>
      <c r="D21" s="116" t="s">
        <v>143</v>
      </c>
      <c r="E21" s="116"/>
    </row>
    <row r="22" spans="3:5" x14ac:dyDescent="0.45">
      <c r="C22" s="99" t="s">
        <v>144</v>
      </c>
      <c r="D22" s="115" t="s">
        <v>146</v>
      </c>
      <c r="E22" s="115"/>
    </row>
    <row r="23" spans="3:5" ht="14.65" thickBot="1" x14ac:dyDescent="0.5">
      <c r="C23" s="100" t="s">
        <v>145</v>
      </c>
      <c r="D23" s="114" t="s">
        <v>147</v>
      </c>
      <c r="E23" s="114"/>
    </row>
  </sheetData>
  <mergeCells count="7">
    <mergeCell ref="C17:E17"/>
    <mergeCell ref="D18:E18"/>
    <mergeCell ref="D23:E23"/>
    <mergeCell ref="D22:E22"/>
    <mergeCell ref="D21:E21"/>
    <mergeCell ref="D20:E20"/>
    <mergeCell ref="D19:E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3"/>
  <sheetViews>
    <sheetView topLeftCell="A4" zoomScaleNormal="100" workbookViewId="0">
      <selection activeCell="N14" sqref="N14"/>
    </sheetView>
  </sheetViews>
  <sheetFormatPr defaultRowHeight="14.25" x14ac:dyDescent="0.45"/>
  <cols>
    <col min="1" max="1" width="2.73046875" customWidth="1"/>
    <col min="2" max="2" width="3.265625" customWidth="1"/>
    <col min="4" max="4" width="10" customWidth="1"/>
    <col min="5" max="5" width="16.265625" bestFit="1" customWidth="1"/>
    <col min="6" max="6" width="22.73046875" bestFit="1" customWidth="1"/>
    <col min="10" max="10" width="10.86328125" customWidth="1"/>
    <col min="12" max="12" width="3.265625" customWidth="1"/>
  </cols>
  <sheetData>
    <row r="2" spans="2:12" ht="17.25" x14ac:dyDescent="0.45">
      <c r="C2" s="1" t="s">
        <v>37</v>
      </c>
      <c r="D2" s="2"/>
      <c r="E2" s="2"/>
    </row>
    <row r="3" spans="2:12" ht="14.65" thickBot="1" x14ac:dyDescent="0.5"/>
    <row r="4" spans="2:12" ht="18" customHeight="1" thickBot="1" x14ac:dyDescent="0.5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5">
      <c r="B5" s="29"/>
      <c r="C5" s="38" t="s">
        <v>19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4.65" thickBot="1" x14ac:dyDescent="0.5">
      <c r="B6" s="29"/>
      <c r="C6" s="41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42" t="s">
        <v>28</v>
      </c>
      <c r="L6" s="34"/>
    </row>
    <row r="7" spans="2:12" ht="38.25" x14ac:dyDescent="0.45">
      <c r="B7" s="29"/>
      <c r="C7" s="43" t="s">
        <v>29</v>
      </c>
      <c r="D7" s="25" t="s">
        <v>30</v>
      </c>
      <c r="E7" s="25" t="s">
        <v>31</v>
      </c>
      <c r="F7" s="25" t="s">
        <v>32</v>
      </c>
      <c r="G7" s="25" t="s">
        <v>33</v>
      </c>
      <c r="H7" s="25" t="s">
        <v>34</v>
      </c>
      <c r="I7" s="25" t="s">
        <v>13</v>
      </c>
      <c r="J7" s="25" t="s">
        <v>35</v>
      </c>
      <c r="K7" s="44" t="s">
        <v>36</v>
      </c>
      <c r="L7" s="34"/>
    </row>
    <row r="8" spans="2:12" ht="18.75" customHeight="1" x14ac:dyDescent="0.45">
      <c r="B8" s="29"/>
      <c r="C8" s="45" t="s">
        <v>65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45">
      <c r="B9" s="29"/>
      <c r="C9" s="47" t="s">
        <v>59</v>
      </c>
      <c r="D9" s="21"/>
      <c r="E9" s="21" t="s">
        <v>60</v>
      </c>
      <c r="F9" s="21" t="s">
        <v>61</v>
      </c>
      <c r="G9" s="21" t="s">
        <v>56</v>
      </c>
      <c r="H9" s="21" t="s">
        <v>62</v>
      </c>
      <c r="I9" s="21" t="s">
        <v>186</v>
      </c>
      <c r="J9" s="21"/>
      <c r="K9" s="48"/>
      <c r="L9" s="34"/>
    </row>
    <row r="10" spans="2:12" ht="18.75" customHeight="1" x14ac:dyDescent="0.45">
      <c r="B10" s="29"/>
      <c r="C10" s="49" t="s">
        <v>38</v>
      </c>
      <c r="D10" s="23"/>
      <c r="E10" s="23" t="s">
        <v>40</v>
      </c>
      <c r="F10" s="23" t="s">
        <v>52</v>
      </c>
      <c r="G10" s="23" t="s">
        <v>56</v>
      </c>
      <c r="H10" s="23" t="s">
        <v>62</v>
      </c>
      <c r="I10" s="23" t="s">
        <v>186</v>
      </c>
      <c r="J10" s="23"/>
      <c r="K10" s="50"/>
      <c r="L10" s="34"/>
    </row>
    <row r="11" spans="2:12" ht="18.75" customHeight="1" x14ac:dyDescent="0.45">
      <c r="B11" s="29"/>
      <c r="C11" s="49" t="s">
        <v>38</v>
      </c>
      <c r="D11" s="23"/>
      <c r="E11" s="23" t="s">
        <v>174</v>
      </c>
      <c r="F11" s="23" t="s">
        <v>175</v>
      </c>
      <c r="G11" s="23" t="s">
        <v>56</v>
      </c>
      <c r="H11" s="23" t="s">
        <v>62</v>
      </c>
      <c r="I11" s="23" t="s">
        <v>186</v>
      </c>
      <c r="J11" s="23"/>
      <c r="K11" s="50"/>
      <c r="L11" s="34"/>
    </row>
    <row r="12" spans="2:12" ht="18.75" customHeight="1" x14ac:dyDescent="0.45">
      <c r="B12" s="29"/>
      <c r="C12" s="45" t="s">
        <v>66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45">
      <c r="B13" s="29"/>
      <c r="C13" s="47" t="s">
        <v>39</v>
      </c>
      <c r="D13" s="21"/>
      <c r="E13" s="21" t="s">
        <v>63</v>
      </c>
      <c r="F13" s="21" t="s">
        <v>67</v>
      </c>
      <c r="G13" s="21" t="s">
        <v>56</v>
      </c>
      <c r="H13" s="21" t="s">
        <v>69</v>
      </c>
      <c r="I13" s="21" t="s">
        <v>187</v>
      </c>
      <c r="J13" s="21"/>
      <c r="K13" s="48"/>
      <c r="L13" s="34"/>
    </row>
    <row r="14" spans="2:12" ht="18.75" customHeight="1" thickBot="1" x14ac:dyDescent="0.5">
      <c r="B14" s="29"/>
      <c r="C14" s="51" t="s">
        <v>39</v>
      </c>
      <c r="D14" s="52"/>
      <c r="E14" s="52" t="s">
        <v>64</v>
      </c>
      <c r="F14" s="52" t="s">
        <v>68</v>
      </c>
      <c r="G14" s="52" t="s">
        <v>56</v>
      </c>
      <c r="H14" s="52" t="s">
        <v>69</v>
      </c>
      <c r="I14" s="52" t="s">
        <v>187</v>
      </c>
      <c r="J14" s="52"/>
      <c r="K14" s="53"/>
      <c r="L14" s="34"/>
    </row>
    <row r="15" spans="2:12" ht="18.75" customHeight="1" thickBot="1" x14ac:dyDescent="0.5">
      <c r="B15" s="29"/>
      <c r="C15" s="74" t="s">
        <v>39</v>
      </c>
      <c r="D15" s="74"/>
      <c r="E15" s="74" t="s">
        <v>172</v>
      </c>
      <c r="F15" s="74" t="s">
        <v>173</v>
      </c>
      <c r="G15" s="74" t="s">
        <v>56</v>
      </c>
      <c r="H15" s="74" t="s">
        <v>69</v>
      </c>
      <c r="I15" s="74" t="s">
        <v>187</v>
      </c>
      <c r="J15" s="74"/>
      <c r="K15" s="74"/>
      <c r="L15" s="34"/>
    </row>
    <row r="16" spans="2:12" ht="18.75" customHeight="1" thickBot="1" x14ac:dyDescent="0.5">
      <c r="B16" s="29"/>
      <c r="C16" s="74" t="s">
        <v>178</v>
      </c>
      <c r="D16" s="74"/>
      <c r="E16" s="74"/>
      <c r="F16" s="74"/>
      <c r="G16" s="74"/>
      <c r="H16" s="74"/>
      <c r="I16" s="74"/>
      <c r="J16" s="74"/>
      <c r="K16" s="74"/>
      <c r="L16" s="34"/>
    </row>
    <row r="17" spans="2:12" ht="18.75" customHeight="1" thickBot="1" x14ac:dyDescent="0.5">
      <c r="B17" s="29"/>
      <c r="C17" s="74" t="s">
        <v>183</v>
      </c>
      <c r="D17" s="74"/>
      <c r="E17" s="74" t="s">
        <v>184</v>
      </c>
      <c r="F17" s="74" t="s">
        <v>185</v>
      </c>
      <c r="G17" s="74" t="s">
        <v>56</v>
      </c>
      <c r="H17" s="74" t="s">
        <v>69</v>
      </c>
      <c r="I17" s="63" t="s">
        <v>187</v>
      </c>
      <c r="J17" s="74"/>
      <c r="K17" s="74"/>
      <c r="L17" s="34"/>
    </row>
    <row r="18" spans="2:12" ht="18.75" customHeight="1" thickBot="1" x14ac:dyDescent="0.5">
      <c r="B18" s="29"/>
      <c r="C18" s="74" t="s">
        <v>178</v>
      </c>
      <c r="D18" s="74" t="s">
        <v>179</v>
      </c>
      <c r="E18" s="74"/>
      <c r="F18" s="74"/>
      <c r="G18" s="74"/>
      <c r="H18" s="74"/>
      <c r="I18" s="74"/>
      <c r="J18" s="74"/>
      <c r="K18" s="74"/>
      <c r="L18" s="34"/>
    </row>
    <row r="19" spans="2:12" ht="18.75" customHeight="1" thickBot="1" x14ac:dyDescent="0.5">
      <c r="B19" s="29"/>
      <c r="C19" s="74" t="s">
        <v>180</v>
      </c>
      <c r="D19" s="74"/>
      <c r="E19" s="74" t="s">
        <v>181</v>
      </c>
      <c r="F19" s="74" t="s">
        <v>182</v>
      </c>
      <c r="G19" s="74" t="s">
        <v>56</v>
      </c>
      <c r="H19" s="74" t="s">
        <v>62</v>
      </c>
      <c r="I19" s="63" t="s">
        <v>187</v>
      </c>
      <c r="J19" s="74"/>
      <c r="K19" s="74"/>
      <c r="L19" s="34"/>
    </row>
    <row r="20" spans="2:12" ht="18" customHeight="1" thickBot="1" x14ac:dyDescent="0.5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2"/>
    </row>
    <row r="23" spans="2:12" ht="17.649999999999999" thickBot="1" x14ac:dyDescent="0.5">
      <c r="C23" s="111" t="s">
        <v>166</v>
      </c>
      <c r="D23" s="111"/>
      <c r="E23" s="111"/>
    </row>
    <row r="24" spans="2:12" ht="14.45" customHeight="1" x14ac:dyDescent="0.45">
      <c r="C24" s="24" t="s">
        <v>167</v>
      </c>
      <c r="D24" s="118" t="s">
        <v>141</v>
      </c>
      <c r="E24" s="119"/>
    </row>
    <row r="25" spans="2:12" x14ac:dyDescent="0.45">
      <c r="C25" s="102" t="s">
        <v>148</v>
      </c>
      <c r="D25" s="122" t="s">
        <v>164</v>
      </c>
      <c r="E25" s="122"/>
    </row>
    <row r="26" spans="2:12" x14ac:dyDescent="0.45">
      <c r="C26" s="99" t="s">
        <v>154</v>
      </c>
      <c r="D26" s="120" t="s">
        <v>162</v>
      </c>
      <c r="E26" s="120"/>
    </row>
    <row r="27" spans="2:12" x14ac:dyDescent="0.45">
      <c r="C27" s="98" t="s">
        <v>152</v>
      </c>
      <c r="D27" s="121" t="s">
        <v>160</v>
      </c>
      <c r="E27" s="121"/>
    </row>
    <row r="28" spans="2:12" x14ac:dyDescent="0.45">
      <c r="C28" s="99" t="s">
        <v>151</v>
      </c>
      <c r="D28" s="120" t="s">
        <v>159</v>
      </c>
      <c r="E28" s="120"/>
    </row>
    <row r="29" spans="2:12" x14ac:dyDescent="0.45">
      <c r="C29" s="98" t="s">
        <v>150</v>
      </c>
      <c r="D29" s="121" t="s">
        <v>158</v>
      </c>
      <c r="E29" s="121"/>
    </row>
    <row r="30" spans="2:12" x14ac:dyDescent="0.45">
      <c r="C30" s="99" t="s">
        <v>157</v>
      </c>
      <c r="D30" s="120" t="s">
        <v>165</v>
      </c>
      <c r="E30" s="120"/>
    </row>
    <row r="31" spans="2:12" x14ac:dyDescent="0.45">
      <c r="C31" s="98" t="s">
        <v>153</v>
      </c>
      <c r="D31" s="121" t="s">
        <v>161</v>
      </c>
      <c r="E31" s="121"/>
    </row>
    <row r="32" spans="2:12" x14ac:dyDescent="0.45">
      <c r="C32" s="99" t="s">
        <v>149</v>
      </c>
      <c r="D32" s="120" t="s">
        <v>156</v>
      </c>
      <c r="E32" s="120"/>
    </row>
    <row r="33" spans="3:5" ht="14.65" thickBot="1" x14ac:dyDescent="0.5">
      <c r="C33" s="100" t="s">
        <v>155</v>
      </c>
      <c r="D33" s="117" t="s">
        <v>163</v>
      </c>
      <c r="E33" s="117"/>
    </row>
  </sheetData>
  <mergeCells count="11">
    <mergeCell ref="D33:E33"/>
    <mergeCell ref="C23:E23"/>
    <mergeCell ref="D24:E24"/>
    <mergeCell ref="D32:E32"/>
    <mergeCell ref="D31:E31"/>
    <mergeCell ref="D30:E30"/>
    <mergeCell ref="D29:E29"/>
    <mergeCell ref="D28:E28"/>
    <mergeCell ref="D27:E27"/>
    <mergeCell ref="D26:E26"/>
    <mergeCell ref="D25:E25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zoomScaleNormal="100" workbookViewId="0">
      <selection activeCell="H11" sqref="H11"/>
    </sheetView>
  </sheetViews>
  <sheetFormatPr defaultRowHeight="14.25" x14ac:dyDescent="0.45"/>
  <cols>
    <col min="1" max="1" width="2.73046875" customWidth="1"/>
    <col min="2" max="2" width="3.265625" customWidth="1"/>
    <col min="3" max="3" width="18.73046875" customWidth="1"/>
    <col min="4" max="4" width="17.59765625" customWidth="1"/>
    <col min="5" max="5" width="12.3984375" customWidth="1"/>
    <col min="6" max="6" width="14.265625" customWidth="1"/>
    <col min="7" max="7" width="10.59765625" customWidth="1"/>
    <col min="8" max="8" width="3.265625" customWidth="1"/>
  </cols>
  <sheetData>
    <row r="2" spans="2:8" ht="15.4" x14ac:dyDescent="0.45">
      <c r="C2" s="4" t="s">
        <v>45</v>
      </c>
      <c r="D2" s="5"/>
      <c r="E2" s="6"/>
    </row>
    <row r="3" spans="2:8" ht="14.65" thickBot="1" x14ac:dyDescent="0.5"/>
    <row r="4" spans="2:8" ht="18" customHeight="1" thickBot="1" x14ac:dyDescent="0.5">
      <c r="B4" s="28"/>
      <c r="C4" s="75"/>
      <c r="D4" s="76"/>
      <c r="E4" s="77"/>
      <c r="F4" s="37"/>
      <c r="G4" s="37"/>
      <c r="H4" s="33"/>
    </row>
    <row r="5" spans="2:8" ht="18.75" customHeight="1" thickBot="1" x14ac:dyDescent="0.5">
      <c r="B5" s="29"/>
      <c r="C5" s="54"/>
      <c r="D5" s="55"/>
      <c r="E5" s="65" t="s">
        <v>41</v>
      </c>
      <c r="F5" s="55"/>
      <c r="G5" s="56"/>
      <c r="H5" s="34"/>
    </row>
    <row r="6" spans="2:8" ht="14.65" thickBot="1" x14ac:dyDescent="0.5">
      <c r="B6" s="29"/>
      <c r="C6" s="66" t="s">
        <v>22</v>
      </c>
      <c r="D6" s="12" t="s">
        <v>136</v>
      </c>
      <c r="E6" s="12" t="s">
        <v>42</v>
      </c>
      <c r="F6" s="12" t="s">
        <v>46</v>
      </c>
      <c r="G6" s="67" t="s">
        <v>47</v>
      </c>
      <c r="H6" s="34"/>
    </row>
    <row r="7" spans="2:8" ht="38.25" x14ac:dyDescent="0.45">
      <c r="B7" s="29"/>
      <c r="C7" s="68" t="s">
        <v>43</v>
      </c>
      <c r="D7" s="14" t="s">
        <v>32</v>
      </c>
      <c r="E7" s="14" t="s">
        <v>44</v>
      </c>
      <c r="F7" s="14" t="s">
        <v>48</v>
      </c>
      <c r="G7" s="69" t="s">
        <v>49</v>
      </c>
      <c r="H7" s="34"/>
    </row>
    <row r="8" spans="2:8" ht="18.75" customHeight="1" x14ac:dyDescent="0.45">
      <c r="B8" s="29"/>
      <c r="C8" s="70" t="s">
        <v>50</v>
      </c>
      <c r="D8" s="27"/>
      <c r="E8" s="27"/>
      <c r="F8" s="27" t="s">
        <v>62</v>
      </c>
      <c r="G8" s="71" t="s">
        <v>76</v>
      </c>
      <c r="H8" s="34"/>
    </row>
    <row r="9" spans="2:8" ht="18.75" customHeight="1" x14ac:dyDescent="0.45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45">
      <c r="B10" s="29"/>
      <c r="C10" s="103" t="str">
        <f>FI_Process!E10</f>
        <v>MIN_NAT_GAS</v>
      </c>
      <c r="D10" s="104" t="str">
        <f>FI_Process!F10</f>
        <v>Supply Natural Gas</v>
      </c>
      <c r="E10" s="104" t="str">
        <f>FI_Comm!E9</f>
        <v>NAT_GAS</v>
      </c>
      <c r="F10" s="104"/>
      <c r="G10" s="105">
        <v>20</v>
      </c>
      <c r="H10" s="34"/>
    </row>
    <row r="11" spans="2:8" ht="18.75" customHeight="1" thickBot="1" x14ac:dyDescent="0.5">
      <c r="B11" s="29"/>
      <c r="C11" s="106" t="str">
        <f>FI_Process!E11</f>
        <v>MIN_WIND_ON</v>
      </c>
      <c r="D11" s="107" t="str">
        <f>FI_Process!F11</f>
        <v>Supply Wind Onshore</v>
      </c>
      <c r="E11" s="107" t="str">
        <f>FI_Comm!E10</f>
        <v>WIND_ON</v>
      </c>
      <c r="F11" s="107"/>
      <c r="G11" s="108">
        <v>1E-3</v>
      </c>
      <c r="H11" s="34"/>
    </row>
    <row r="12" spans="2:8" ht="18" customHeight="1" thickBot="1" x14ac:dyDescent="0.5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3"/>
  <sheetViews>
    <sheetView zoomScaleNormal="100" workbookViewId="0">
      <selection activeCell="C5" sqref="C5:L8"/>
    </sheetView>
  </sheetViews>
  <sheetFormatPr defaultRowHeight="14.25" x14ac:dyDescent="0.45"/>
  <cols>
    <col min="1" max="1" width="2.73046875" customWidth="1"/>
    <col min="2" max="2" width="3.265625" customWidth="1"/>
    <col min="3" max="3" width="17.73046875" customWidth="1"/>
    <col min="4" max="4" width="15.59765625" customWidth="1"/>
    <col min="5" max="5" width="10.1328125" bestFit="1" customWidth="1"/>
    <col min="6" max="6" width="11.1328125" bestFit="1" customWidth="1"/>
    <col min="7" max="7" width="8.265625" bestFit="1" customWidth="1"/>
    <col min="8" max="8" width="16.73046875" bestFit="1" customWidth="1"/>
    <col min="9" max="9" width="9.265625" customWidth="1"/>
    <col min="10" max="10" width="12.3984375" customWidth="1"/>
    <col min="11" max="11" width="7.73046875" bestFit="1" customWidth="1"/>
    <col min="12" max="12" width="8" bestFit="1" customWidth="1"/>
    <col min="13" max="13" width="3.265625" customWidth="1"/>
    <col min="15" max="16" width="17.265625" customWidth="1"/>
    <col min="17" max="17" width="11.1328125" customWidth="1"/>
  </cols>
  <sheetData>
    <row r="2" spans="2:16" ht="15.4" x14ac:dyDescent="0.45">
      <c r="C2" s="4" t="s">
        <v>116</v>
      </c>
      <c r="D2" s="5"/>
      <c r="E2" s="5"/>
      <c r="F2" s="6"/>
    </row>
    <row r="3" spans="2:16" ht="14.65" thickBot="1" x14ac:dyDescent="0.5">
      <c r="F3" s="6"/>
    </row>
    <row r="4" spans="2:16" ht="14.65" thickBot="1" x14ac:dyDescent="0.5">
      <c r="B4" s="28"/>
      <c r="C4" s="75"/>
      <c r="D4" s="76"/>
      <c r="E4" s="76"/>
      <c r="F4" s="77"/>
      <c r="G4" s="37"/>
      <c r="H4" s="37"/>
      <c r="I4" s="37"/>
      <c r="J4" s="37"/>
      <c r="K4" s="37"/>
      <c r="L4" s="37"/>
      <c r="M4" s="33"/>
    </row>
    <row r="5" spans="2:16" ht="18.75" customHeight="1" thickBot="1" x14ac:dyDescent="0.5">
      <c r="B5" s="29"/>
      <c r="C5" s="54"/>
      <c r="D5" s="55"/>
      <c r="E5" s="55"/>
      <c r="F5" s="65" t="s">
        <v>41</v>
      </c>
      <c r="G5" s="55"/>
      <c r="H5" s="55"/>
      <c r="I5" s="55"/>
      <c r="J5" s="55"/>
      <c r="K5" s="55"/>
      <c r="L5" s="56"/>
      <c r="M5" s="34"/>
    </row>
    <row r="6" spans="2:16" ht="26.65" thickBot="1" x14ac:dyDescent="0.5">
      <c r="B6" s="29"/>
      <c r="C6" s="66" t="s">
        <v>22</v>
      </c>
      <c r="D6" s="12" t="s">
        <v>136</v>
      </c>
      <c r="E6" s="12" t="s">
        <v>102</v>
      </c>
      <c r="F6" s="12" t="s">
        <v>42</v>
      </c>
      <c r="G6" s="12" t="s">
        <v>105</v>
      </c>
      <c r="H6" s="12" t="s">
        <v>106</v>
      </c>
      <c r="I6" s="12" t="s">
        <v>104</v>
      </c>
      <c r="J6" s="12" t="s">
        <v>107</v>
      </c>
      <c r="K6" s="12" t="s">
        <v>108</v>
      </c>
      <c r="L6" s="67" t="s">
        <v>109</v>
      </c>
      <c r="M6" s="34"/>
      <c r="O6" s="9" t="s">
        <v>128</v>
      </c>
    </row>
    <row r="7" spans="2:16" ht="38.25" x14ac:dyDescent="0.45">
      <c r="B7" s="29"/>
      <c r="C7" s="68" t="s">
        <v>43</v>
      </c>
      <c r="D7" s="14" t="s">
        <v>32</v>
      </c>
      <c r="E7" s="14" t="s">
        <v>103</v>
      </c>
      <c r="F7" s="14" t="s">
        <v>44</v>
      </c>
      <c r="G7" s="14" t="s">
        <v>110</v>
      </c>
      <c r="H7" s="14" t="s">
        <v>111</v>
      </c>
      <c r="I7" s="14" t="s">
        <v>112</v>
      </c>
      <c r="J7" s="14" t="s">
        <v>113</v>
      </c>
      <c r="K7" s="14" t="s">
        <v>114</v>
      </c>
      <c r="L7" s="69" t="s">
        <v>115</v>
      </c>
      <c r="M7" s="34"/>
      <c r="O7" s="10" t="s">
        <v>129</v>
      </c>
      <c r="P7" s="10" t="s">
        <v>132</v>
      </c>
    </row>
    <row r="8" spans="2:16" ht="18.75" customHeight="1" x14ac:dyDescent="0.45">
      <c r="B8" s="29"/>
      <c r="C8" s="78" t="s">
        <v>50</v>
      </c>
      <c r="D8" s="15"/>
      <c r="E8" s="15"/>
      <c r="F8" s="15"/>
      <c r="G8" s="15" t="s">
        <v>69</v>
      </c>
      <c r="H8" s="15" t="s">
        <v>131</v>
      </c>
      <c r="I8" s="15" t="s">
        <v>122</v>
      </c>
      <c r="J8" s="15" t="s">
        <v>122</v>
      </c>
      <c r="K8" s="15" t="s">
        <v>76</v>
      </c>
      <c r="L8" s="79" t="s">
        <v>75</v>
      </c>
      <c r="M8" s="34"/>
      <c r="O8" s="84" t="s">
        <v>130</v>
      </c>
      <c r="P8" s="84" t="s">
        <v>130</v>
      </c>
    </row>
    <row r="9" spans="2:16" ht="18.75" customHeight="1" x14ac:dyDescent="0.45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FI_Comm!E11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3">
        <f>G9*H9*J9</f>
        <v>100.91520000000001</v>
      </c>
      <c r="P9" s="83">
        <f>O9/I9</f>
        <v>252.28800000000001</v>
      </c>
    </row>
    <row r="10" spans="2:16" ht="18.75" customHeight="1" x14ac:dyDescent="0.45">
      <c r="B10" s="29"/>
      <c r="C10" s="103" t="str">
        <f>FI_Process!E14</f>
        <v>EX_PP_NAT_GAS</v>
      </c>
      <c r="D10" s="104" t="str">
        <f>FI_Process!F14</f>
        <v>Power Plant - Natural Gas</v>
      </c>
      <c r="E10" s="104" t="str">
        <f>FI_Comm!E9</f>
        <v>NAT_GAS</v>
      </c>
      <c r="F10" s="104" t="str">
        <f>FI_Comm!E11</f>
        <v>ELC_HV</v>
      </c>
      <c r="G10" s="104">
        <v>2</v>
      </c>
      <c r="H10" s="104">
        <v>31.536000000000001</v>
      </c>
      <c r="I10" s="104">
        <v>0.6</v>
      </c>
      <c r="J10" s="104">
        <v>0.5</v>
      </c>
      <c r="K10" s="104">
        <v>1</v>
      </c>
      <c r="L10" s="105">
        <v>1</v>
      </c>
      <c r="M10" s="34"/>
      <c r="O10" s="96">
        <f>G10*H10*J10</f>
        <v>31.536000000000001</v>
      </c>
      <c r="P10" s="96">
        <f>O10/I10</f>
        <v>52.56</v>
      </c>
    </row>
    <row r="11" spans="2:16" ht="18.75" customHeight="1" thickBot="1" x14ac:dyDescent="0.5">
      <c r="B11" s="29"/>
      <c r="C11" s="106" t="str">
        <f>FI_Process!E15</f>
        <v>EX_PP_WIND</v>
      </c>
      <c r="D11" s="107" t="str">
        <f>FI_Process!F15</f>
        <v>Power Plant - Wind Tuebine</v>
      </c>
      <c r="E11" s="107" t="str">
        <f>FI_Comm!E10</f>
        <v>WIND_ON</v>
      </c>
      <c r="F11" s="107" t="str">
        <f>FI_Comm!E11</f>
        <v>ELC_HV</v>
      </c>
      <c r="G11" s="107">
        <v>1</v>
      </c>
      <c r="H11" s="107">
        <v>31.536000000000001</v>
      </c>
      <c r="I11" s="107">
        <v>1</v>
      </c>
      <c r="J11" s="107">
        <v>0.33</v>
      </c>
      <c r="K11" s="107"/>
      <c r="L11" s="108">
        <v>1</v>
      </c>
      <c r="M11" s="34"/>
      <c r="O11" s="83"/>
      <c r="P11" s="83"/>
    </row>
    <row r="12" spans="2:16" ht="14.65" thickBot="1" x14ac:dyDescent="0.5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7">
        <f>SUM(O9:O10)</f>
        <v>132.45120000000003</v>
      </c>
    </row>
    <row r="17" spans="3:3" x14ac:dyDescent="0.45">
      <c r="C17" s="9" t="s">
        <v>127</v>
      </c>
    </row>
    <row r="18" spans="3:3" x14ac:dyDescent="0.45">
      <c r="C18" t="s">
        <v>124</v>
      </c>
    </row>
    <row r="19" spans="3:3" ht="42" customHeight="1" x14ac:dyDescent="0.45"/>
    <row r="20" spans="3:3" x14ac:dyDescent="0.45">
      <c r="C20" t="s">
        <v>125</v>
      </c>
    </row>
    <row r="21" spans="3:3" x14ac:dyDescent="0.45">
      <c r="C21" t="s">
        <v>123</v>
      </c>
    </row>
    <row r="22" spans="3:3" x14ac:dyDescent="0.45">
      <c r="C22" t="s">
        <v>126</v>
      </c>
    </row>
    <row r="23" spans="3:3" ht="42" customHeight="1" x14ac:dyDescent="0.45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1:K6"/>
  <sheetViews>
    <sheetView workbookViewId="0">
      <selection activeCell="F6" sqref="F6"/>
    </sheetView>
  </sheetViews>
  <sheetFormatPr defaultRowHeight="14.25" x14ac:dyDescent="0.45"/>
  <cols>
    <col min="2" max="2" width="17.73046875" customWidth="1"/>
    <col min="3" max="3" width="15" customWidth="1"/>
    <col min="4" max="4" width="18.1328125" customWidth="1"/>
    <col min="7" max="7" width="13.1328125" customWidth="1"/>
  </cols>
  <sheetData>
    <row r="1" spans="2:11" ht="14.65" thickBot="1" x14ac:dyDescent="0.5"/>
    <row r="2" spans="2:11" ht="15.75" thickBot="1" x14ac:dyDescent="0.5">
      <c r="B2" s="54"/>
      <c r="C2" s="55"/>
      <c r="D2" s="55"/>
      <c r="E2" s="65" t="s">
        <v>41</v>
      </c>
      <c r="F2" s="55"/>
      <c r="G2" s="55"/>
      <c r="H2" s="55"/>
      <c r="I2" s="55"/>
      <c r="J2" s="55"/>
      <c r="K2" s="56"/>
    </row>
    <row r="3" spans="2:11" ht="26.65" thickBot="1" x14ac:dyDescent="0.5">
      <c r="B3" s="66" t="s">
        <v>22</v>
      </c>
      <c r="C3" s="12" t="s">
        <v>136</v>
      </c>
      <c r="D3" s="12" t="s">
        <v>102</v>
      </c>
      <c r="E3" s="12" t="s">
        <v>42</v>
      </c>
      <c r="F3" s="12" t="s">
        <v>105</v>
      </c>
      <c r="G3" s="12" t="s">
        <v>106</v>
      </c>
      <c r="H3" s="12" t="s">
        <v>104</v>
      </c>
      <c r="I3" s="12" t="s">
        <v>107</v>
      </c>
      <c r="J3" s="12" t="s">
        <v>108</v>
      </c>
      <c r="K3" s="67" t="s">
        <v>109</v>
      </c>
    </row>
    <row r="4" spans="2:11" ht="38.25" x14ac:dyDescent="0.45">
      <c r="B4" s="68" t="s">
        <v>43</v>
      </c>
      <c r="C4" s="14" t="s">
        <v>32</v>
      </c>
      <c r="D4" s="14" t="s">
        <v>103</v>
      </c>
      <c r="E4" s="14" t="s">
        <v>44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  <c r="K4" s="69" t="s">
        <v>115</v>
      </c>
    </row>
    <row r="5" spans="2:11" x14ac:dyDescent="0.45">
      <c r="B5" s="78" t="s">
        <v>50</v>
      </c>
      <c r="C5" s="15"/>
      <c r="D5" s="15"/>
      <c r="E5" s="15"/>
      <c r="F5" s="15" t="s">
        <v>69</v>
      </c>
      <c r="G5" s="15" t="s">
        <v>131</v>
      </c>
      <c r="H5" s="15" t="s">
        <v>122</v>
      </c>
      <c r="I5" s="15" t="s">
        <v>122</v>
      </c>
      <c r="J5" s="15" t="s">
        <v>76</v>
      </c>
      <c r="K5" s="79" t="s">
        <v>75</v>
      </c>
    </row>
    <row r="6" spans="2:11" x14ac:dyDescent="0.45">
      <c r="B6" t="str">
        <f>FI_Process!E17</f>
        <v>EX_ELC_GRID</v>
      </c>
      <c r="C6" t="str">
        <f>FI_Process!F17</f>
        <v>Existing Grid</v>
      </c>
      <c r="D6" t="str">
        <f>FI_Comm!E11</f>
        <v>ELC_HV</v>
      </c>
      <c r="E6" t="str">
        <f>FI_Comm!E12</f>
        <v>ELC_LV</v>
      </c>
      <c r="G6">
        <v>1</v>
      </c>
      <c r="H6">
        <v>0.88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M25"/>
  <sheetViews>
    <sheetView tabSelected="1" topLeftCell="A4" workbookViewId="0">
      <selection activeCell="J14" sqref="J14"/>
    </sheetView>
  </sheetViews>
  <sheetFormatPr defaultRowHeight="14.25" x14ac:dyDescent="0.45"/>
  <cols>
    <col min="1" max="1" width="2.73046875" customWidth="1"/>
    <col min="2" max="2" width="3.265625" customWidth="1"/>
    <col min="3" max="3" width="12.59765625" bestFit="1" customWidth="1"/>
    <col min="4" max="4" width="22.73046875" bestFit="1" customWidth="1"/>
    <col min="5" max="5" width="22.73046875" customWidth="1"/>
    <col min="6" max="6" width="10.3984375" customWidth="1"/>
    <col min="7" max="7" width="18.73046875" customWidth="1"/>
    <col min="8" max="8" width="13.86328125" customWidth="1"/>
    <col min="9" max="9" width="10.86328125" bestFit="1" customWidth="1"/>
    <col min="10" max="10" width="9" bestFit="1" customWidth="1"/>
    <col min="11" max="11" width="8.73046875" bestFit="1" customWidth="1"/>
    <col min="12" max="12" width="7.86328125" bestFit="1" customWidth="1"/>
    <col min="13" max="13" width="8.265625" bestFit="1" customWidth="1"/>
  </cols>
  <sheetData>
    <row r="1" spans="2:9" ht="15" customHeight="1" x14ac:dyDescent="0.45"/>
    <row r="2" spans="2:9" ht="15.4" x14ac:dyDescent="0.45">
      <c r="C2" s="4" t="s">
        <v>117</v>
      </c>
      <c r="D2" s="5"/>
      <c r="E2" s="5"/>
      <c r="F2" s="6"/>
    </row>
    <row r="3" spans="2:9" ht="14.65" thickBot="1" x14ac:dyDescent="0.5"/>
    <row r="4" spans="2:9" ht="18" customHeight="1" thickBot="1" x14ac:dyDescent="0.5">
      <c r="B4" s="28"/>
      <c r="C4" s="75"/>
      <c r="D4" s="76"/>
      <c r="E4" s="76"/>
      <c r="F4" s="77"/>
      <c r="G4" s="33"/>
    </row>
    <row r="5" spans="2:9" ht="18.75" customHeight="1" thickBot="1" x14ac:dyDescent="0.5">
      <c r="B5" s="29"/>
      <c r="C5" s="88" t="s">
        <v>41</v>
      </c>
      <c r="D5" s="55"/>
      <c r="E5" s="55"/>
      <c r="F5" s="89"/>
      <c r="G5" s="82"/>
    </row>
    <row r="6" spans="2:9" ht="14.65" thickBot="1" x14ac:dyDescent="0.5">
      <c r="B6" s="29"/>
      <c r="C6" s="86" t="s">
        <v>2</v>
      </c>
      <c r="D6" s="87" t="s">
        <v>118</v>
      </c>
      <c r="E6" s="87"/>
      <c r="F6" s="85">
        <v>2025</v>
      </c>
      <c r="G6" s="34"/>
    </row>
    <row r="7" spans="2:9" ht="38.25" x14ac:dyDescent="0.45">
      <c r="B7" s="29"/>
      <c r="C7" s="90" t="s">
        <v>119</v>
      </c>
      <c r="D7" s="91" t="s">
        <v>118</v>
      </c>
      <c r="E7" s="91" t="s">
        <v>197</v>
      </c>
      <c r="F7" s="92" t="s">
        <v>120</v>
      </c>
      <c r="G7" s="34"/>
    </row>
    <row r="8" spans="2:9" ht="18.75" customHeight="1" x14ac:dyDescent="0.45">
      <c r="B8" s="29"/>
      <c r="C8" s="93" t="s">
        <v>50</v>
      </c>
      <c r="D8" s="94"/>
      <c r="E8" s="94"/>
      <c r="F8" s="95" t="s">
        <v>130</v>
      </c>
      <c r="G8" s="34"/>
    </row>
    <row r="9" spans="2:9" ht="18.75" customHeight="1" thickBot="1" x14ac:dyDescent="0.5">
      <c r="B9" s="29"/>
      <c r="C9" s="80" t="str">
        <f>FI_Comm!E13</f>
        <v>ELC_FIN</v>
      </c>
      <c r="D9" s="13" t="s">
        <v>121</v>
      </c>
      <c r="E9" s="13"/>
      <c r="F9" s="81">
        <f>100/GRID!H6</f>
        <v>113.63636363636364</v>
      </c>
      <c r="G9" s="34"/>
    </row>
    <row r="10" spans="2:9" ht="18.75" customHeight="1" thickBot="1" x14ac:dyDescent="0.5">
      <c r="B10" s="29"/>
      <c r="C10" s="80" t="str">
        <f>C9</f>
        <v>ELC_FIN</v>
      </c>
      <c r="D10" s="13" t="s">
        <v>188</v>
      </c>
      <c r="E10" s="125" t="s">
        <v>189</v>
      </c>
      <c r="F10" s="123">
        <v>0.02</v>
      </c>
      <c r="G10" s="34"/>
      <c r="I10">
        <f>F10*F$9</f>
        <v>2.2727272727272729</v>
      </c>
    </row>
    <row r="11" spans="2:9" ht="18.75" customHeight="1" thickBot="1" x14ac:dyDescent="0.5">
      <c r="B11" s="29"/>
      <c r="C11" s="80" t="str">
        <f t="shared" ref="C11:C17" si="0">C10</f>
        <v>ELC_FIN</v>
      </c>
      <c r="D11" s="13" t="s">
        <v>188</v>
      </c>
      <c r="E11" s="124" t="s">
        <v>190</v>
      </c>
      <c r="F11" s="123">
        <v>0.06</v>
      </c>
      <c r="G11" s="34"/>
      <c r="I11" s="126">
        <f t="shared" ref="I11:I17" si="1">F11*F$9</f>
        <v>6.8181818181818183</v>
      </c>
    </row>
    <row r="12" spans="2:9" ht="18.75" customHeight="1" thickBot="1" x14ac:dyDescent="0.5">
      <c r="B12" s="29"/>
      <c r="C12" s="80" t="str">
        <f t="shared" si="0"/>
        <v>ELC_FIN</v>
      </c>
      <c r="D12" s="13" t="s">
        <v>188</v>
      </c>
      <c r="E12" s="124" t="s">
        <v>191</v>
      </c>
      <c r="F12" s="123">
        <v>0.1</v>
      </c>
      <c r="G12" s="34"/>
      <c r="I12" s="126">
        <f t="shared" si="1"/>
        <v>11.363636363636365</v>
      </c>
    </row>
    <row r="13" spans="2:9" ht="18.75" customHeight="1" thickBot="1" x14ac:dyDescent="0.5">
      <c r="B13" s="29"/>
      <c r="C13" s="80" t="str">
        <f t="shared" si="0"/>
        <v>ELC_FIN</v>
      </c>
      <c r="D13" s="13" t="s">
        <v>188</v>
      </c>
      <c r="E13" s="124" t="s">
        <v>192</v>
      </c>
      <c r="F13" s="123">
        <v>0.15</v>
      </c>
      <c r="G13" s="34"/>
      <c r="I13" s="126">
        <f t="shared" si="1"/>
        <v>17.045454545454547</v>
      </c>
    </row>
    <row r="14" spans="2:9" ht="18.75" customHeight="1" thickBot="1" x14ac:dyDescent="0.5">
      <c r="B14" s="29"/>
      <c r="C14" s="80" t="str">
        <f t="shared" si="0"/>
        <v>ELC_FIN</v>
      </c>
      <c r="D14" s="13" t="s">
        <v>188</v>
      </c>
      <c r="E14" s="124" t="s">
        <v>193</v>
      </c>
      <c r="F14" s="123">
        <v>0.12</v>
      </c>
      <c r="G14" s="34"/>
      <c r="I14" s="126">
        <f t="shared" si="1"/>
        <v>13.636363636363637</v>
      </c>
    </row>
    <row r="15" spans="2:9" ht="18.75" customHeight="1" thickBot="1" x14ac:dyDescent="0.5">
      <c r="B15" s="29"/>
      <c r="C15" s="80" t="str">
        <f t="shared" si="0"/>
        <v>ELC_FIN</v>
      </c>
      <c r="D15" s="13" t="s">
        <v>188</v>
      </c>
      <c r="E15" s="124" t="s">
        <v>194</v>
      </c>
      <c r="F15" s="123">
        <v>0.18</v>
      </c>
      <c r="G15" s="34"/>
      <c r="I15" s="126">
        <f t="shared" si="1"/>
        <v>20.454545454545453</v>
      </c>
    </row>
    <row r="16" spans="2:9" ht="18.75" customHeight="1" thickBot="1" x14ac:dyDescent="0.5">
      <c r="B16" s="29"/>
      <c r="C16" s="80" t="str">
        <f t="shared" si="0"/>
        <v>ELC_FIN</v>
      </c>
      <c r="D16" s="13" t="s">
        <v>188</v>
      </c>
      <c r="E16" s="124" t="s">
        <v>195</v>
      </c>
      <c r="F16" s="123">
        <v>0.11</v>
      </c>
      <c r="G16" s="34"/>
      <c r="I16" s="126">
        <f t="shared" si="1"/>
        <v>12.5</v>
      </c>
    </row>
    <row r="17" spans="2:13" ht="18.75" customHeight="1" thickBot="1" x14ac:dyDescent="0.5">
      <c r="B17" s="29"/>
      <c r="C17" s="80" t="str">
        <f t="shared" si="0"/>
        <v>ELC_FIN</v>
      </c>
      <c r="D17" s="13" t="s">
        <v>188</v>
      </c>
      <c r="E17" s="124" t="s">
        <v>196</v>
      </c>
      <c r="F17" s="123">
        <v>0.26</v>
      </c>
      <c r="G17" s="34"/>
      <c r="I17" s="126">
        <f t="shared" si="1"/>
        <v>29.545454545454547</v>
      </c>
    </row>
    <row r="18" spans="2:13" ht="18" customHeight="1" thickBot="1" x14ac:dyDescent="0.5">
      <c r="B18" s="30"/>
      <c r="C18" s="31"/>
      <c r="D18" s="31"/>
      <c r="E18" s="31"/>
      <c r="F18" s="31"/>
      <c r="G18" s="32"/>
    </row>
    <row r="20" spans="2:13" ht="14.65" thickBot="1" x14ac:dyDescent="0.5"/>
    <row r="21" spans="2:13" ht="15.75" thickBot="1" x14ac:dyDescent="0.5">
      <c r="C21" s="54"/>
      <c r="D21" s="55"/>
      <c r="E21" s="55"/>
      <c r="F21" s="55"/>
      <c r="G21" s="65" t="s">
        <v>41</v>
      </c>
      <c r="H21" s="55"/>
      <c r="I21" s="55"/>
      <c r="J21" s="55"/>
      <c r="K21" s="55"/>
      <c r="L21" s="55"/>
      <c r="M21" s="56"/>
    </row>
    <row r="22" spans="2:13" ht="14.65" thickBot="1" x14ac:dyDescent="0.5">
      <c r="C22" s="66" t="s">
        <v>22</v>
      </c>
      <c r="D22" s="12" t="s">
        <v>136</v>
      </c>
      <c r="E22" s="12"/>
      <c r="F22" s="12" t="s">
        <v>102</v>
      </c>
      <c r="G22" s="12" t="s">
        <v>42</v>
      </c>
      <c r="H22" s="12" t="s">
        <v>105</v>
      </c>
      <c r="I22" s="12" t="s">
        <v>106</v>
      </c>
      <c r="J22" s="12" t="s">
        <v>104</v>
      </c>
      <c r="K22" s="12" t="s">
        <v>107</v>
      </c>
      <c r="L22" s="12" t="s">
        <v>108</v>
      </c>
      <c r="M22" s="67" t="s">
        <v>109</v>
      </c>
    </row>
    <row r="23" spans="2:13" ht="38.25" x14ac:dyDescent="0.45">
      <c r="C23" s="68" t="s">
        <v>43</v>
      </c>
      <c r="D23" s="14" t="s">
        <v>32</v>
      </c>
      <c r="E23" s="14"/>
      <c r="F23" s="14" t="s">
        <v>103</v>
      </c>
      <c r="G23" s="14" t="s">
        <v>44</v>
      </c>
      <c r="H23" s="14" t="s">
        <v>110</v>
      </c>
      <c r="I23" s="14" t="s">
        <v>111</v>
      </c>
      <c r="J23" s="14" t="s">
        <v>112</v>
      </c>
      <c r="K23" s="14" t="s">
        <v>113</v>
      </c>
      <c r="L23" s="14" t="s">
        <v>114</v>
      </c>
      <c r="M23" s="69" t="s">
        <v>115</v>
      </c>
    </row>
    <row r="24" spans="2:13" x14ac:dyDescent="0.45">
      <c r="C24" s="78" t="s">
        <v>50</v>
      </c>
      <c r="D24" s="15"/>
      <c r="E24" s="15"/>
      <c r="F24" s="15"/>
      <c r="G24" s="15"/>
      <c r="H24" s="15" t="s">
        <v>69</v>
      </c>
      <c r="I24" s="15" t="s">
        <v>131</v>
      </c>
      <c r="J24" s="15" t="s">
        <v>122</v>
      </c>
      <c r="K24" s="15" t="s">
        <v>122</v>
      </c>
      <c r="L24" s="15" t="s">
        <v>76</v>
      </c>
      <c r="M24" s="79" t="s">
        <v>75</v>
      </c>
    </row>
    <row r="25" spans="2:13" ht="14.65" thickBot="1" x14ac:dyDescent="0.5">
      <c r="C25" s="109" t="str">
        <f>FI_Process!E19</f>
        <v>DMD_FIN_ELC</v>
      </c>
      <c r="D25" s="109" t="str">
        <f>FI_Process!F19</f>
        <v>Final electricity demand</v>
      </c>
      <c r="E25" s="109"/>
      <c r="F25" s="109" t="str">
        <f>FI_Comm!E12</f>
        <v>ELC_LV</v>
      </c>
      <c r="G25" s="109" t="str">
        <f>FI_Comm!E13</f>
        <v>ELC_FIN</v>
      </c>
      <c r="H25" s="109"/>
      <c r="I25" s="109">
        <v>1</v>
      </c>
      <c r="J25" s="109">
        <v>1</v>
      </c>
      <c r="K25" s="109"/>
      <c r="L25" s="109"/>
      <c r="M25" s="109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Carlos Eduardo Orduna Llamas</cp:lastModifiedBy>
  <dcterms:created xsi:type="dcterms:W3CDTF">2015-06-05T18:17:20Z</dcterms:created>
  <dcterms:modified xsi:type="dcterms:W3CDTF">2025-11-04T08:26:46Z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